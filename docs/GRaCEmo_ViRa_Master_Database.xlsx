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_Overview" sheetId="1" state="visible" r:id="rId1"/>
    <sheet xmlns:r="http://schemas.openxmlformats.org/officeDocument/2006/relationships" name="Architecture_&amp;_Tech_Stack" sheetId="2" state="visible" r:id="rId2"/>
    <sheet xmlns:r="http://schemas.openxmlformats.org/officeDocument/2006/relationships" name="Pipeline_Workflow_Diagrams" sheetId="3" state="visible" r:id="rId3"/>
    <sheet xmlns:r="http://schemas.openxmlformats.org/officeDocument/2006/relationships" name="Code_Modules_Deep_Dive" sheetId="4" state="visible" r:id="rId4"/>
    <sheet xmlns:r="http://schemas.openxmlformats.org/officeDocument/2006/relationships" name="End_to_End_System_Workflows" sheetId="5" state="visible" r:id="rId5"/>
    <sheet xmlns:r="http://schemas.openxmlformats.org/officeDocument/2006/relationships" name="System_Logics_&amp;_Rationale" sheetId="6" state="visible" r:id="rId6"/>
    <sheet xmlns:r="http://schemas.openxmlformats.org/officeDocument/2006/relationships" name="Interface_Map" sheetId="7" state="visible" r:id="rId7"/>
    <sheet xmlns:r="http://schemas.openxmlformats.org/officeDocument/2006/relationships" name="Package_Summary" sheetId="8" state="visible" r:id="rId8"/>
    <sheet xmlns:r="http://schemas.openxmlformats.org/officeDocument/2006/relationships" name="Comprehensive_Fixes_Log" sheetId="9" state="visible" r:id="rId9"/>
    <sheet xmlns:r="http://schemas.openxmlformats.org/officeDocument/2006/relationships" name="Upgrade_Log" sheetId="10" state="visible" r:id="rId10"/>
    <sheet xmlns:r="http://schemas.openxmlformats.org/officeDocument/2006/relationships" name="Hardware_BOM" sheetId="11" state="visible" r:id="rId11"/>
    <sheet xmlns:r="http://schemas.openxmlformats.org/officeDocument/2006/relationships" name="AI_Model_Architecture" sheetId="12" state="visible" r:id="rId12"/>
    <sheet xmlns:r="http://schemas.openxmlformats.org/officeDocument/2006/relationships" name="Empirical_Benchmarks" sheetId="13" state="visible" r:id="rId13"/>
    <sheet xmlns:r="http://schemas.openxmlformats.org/officeDocument/2006/relationships" name="Data_Model" sheetId="14" state="visible" r:id="rId14"/>
    <sheet xmlns:r="http://schemas.openxmlformats.org/officeDocument/2006/relationships" name="Knowledgebase_Index" sheetId="15" state="visible" r:id="rId15"/>
    <sheet xmlns:r="http://schemas.openxmlformats.org/officeDocument/2006/relationships" name="Domain_Math_Kinematics" sheetId="16" state="visible" r:id="rId16"/>
  </sheets>
  <definedNames>
    <definedName name="_xlnm._FilterDatabase" localSheetId="0" hidden="1">'Executive_Overview'!$A$4:$C$4</definedName>
    <definedName name="_xlnm._FilterDatabase" localSheetId="3" hidden="1">'Code_Modules_Deep_Dive'!$A$4:$K$4</definedName>
    <definedName name="_xlnm._FilterDatabase" localSheetId="4" hidden="1">'End_to_End_System_Workflows'!$A$4:$F$4</definedName>
    <definedName name="_xlnm._FilterDatabase" localSheetId="5" hidden="1">'System_Logics_&amp;_Rationale'!$A$4:$I$4</definedName>
    <definedName name="_xlnm._FilterDatabase" localSheetId="6" hidden="1">'Interface_Map'!$A$4:$F$4</definedName>
    <definedName name="_xlnm._FilterDatabase" localSheetId="7" hidden="1">'Package_Summary'!$A$4:$F$4</definedName>
    <definedName name="_xlnm._FilterDatabase" localSheetId="8" hidden="1">'Comprehensive_Fixes_Log'!$A$4:$E$4</definedName>
    <definedName name="_xlnm._FilterDatabase" localSheetId="9" hidden="1">'Upgrade_Log'!$A$4:$G$4</definedName>
    <definedName name="_xlnm._FilterDatabase" localSheetId="10" hidden="1">'Hardware_BOM'!$A$4:$D$4</definedName>
    <definedName name="_xlnm._FilterDatabase" localSheetId="11" hidden="1">'AI_Model_Architecture'!$A$4:$C$4</definedName>
    <definedName name="_xlnm._FilterDatabase" localSheetId="12" hidden="1">'Empirical_Benchmarks'!$A$4:$D$4</definedName>
    <definedName name="_xlnm._FilterDatabase" localSheetId="13" hidden="1">'Data_Model'!$A$4:$E$4</definedName>
    <definedName name="_xlnm._FilterDatabase" localSheetId="14" hidden="1">'Knowledgebase_Index'!$A$4:$E$4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4"/>
    </font>
    <font>
      <name val="Calibri"/>
      <i val="1"/>
      <color rgb="00595959"/>
      <sz val="10"/>
    </font>
    <font>
      <name val="Calibri"/>
      <b val="1"/>
      <color rgb="00FFFFFF"/>
      <sz val="11"/>
    </font>
    <font>
      <name val="Calibri"/>
      <sz val="10"/>
    </font>
    <font>
      <name val="Calibri"/>
      <b val="1"/>
      <color rgb="00006100"/>
      <sz val="10"/>
    </font>
    <font>
      <name val="Calibri"/>
      <b val="1"/>
      <color rgb="009C6500"/>
      <sz val="10"/>
    </font>
    <font>
      <name val="Calibri"/>
      <b val="1"/>
      <color rgb="00FFFFFF"/>
      <sz val="12"/>
    </font>
    <font>
      <name val="Calibri"/>
      <b val="1"/>
      <i val="1"/>
      <color rgb="001F4E79"/>
      <sz val="10"/>
    </font>
    <font>
      <name val="Calibri"/>
      <b val="1"/>
      <color rgb="0016365C"/>
      <sz val="10"/>
    </font>
    <font>
      <name val="Calibri"/>
      <i val="1"/>
      <color rgb="00333333"/>
      <sz val="10"/>
    </font>
    <font>
      <name val="Consolas"/>
      <color rgb="00000000"/>
      <sz val="9"/>
    </font>
    <font>
      <name val="Calibri"/>
      <b val="1"/>
      <color rgb="0016365C"/>
      <sz val="11"/>
    </font>
    <font>
      <name val="Consolas"/>
      <sz val="10"/>
    </font>
    <font>
      <name val="Consolas"/>
      <b val="1"/>
      <color rgb="00002060"/>
      <sz val="10"/>
    </font>
  </fonts>
  <fills count="20">
    <fill>
      <patternFill/>
    </fill>
    <fill>
      <patternFill patternType="gray125"/>
    </fill>
    <fill>
      <patternFill patternType="solid">
        <fgColor rgb="0016365C"/>
        <bgColor rgb="0016365C"/>
      </patternFill>
    </fill>
    <fill>
      <patternFill patternType="solid">
        <fgColor rgb="00F2F2F2"/>
        <bgColor rgb="00F2F2F2"/>
      </patternFill>
    </fill>
    <fill>
      <patternFill patternType="solid">
        <fgColor rgb="001F4E79"/>
        <bgColor rgb="001F4E79"/>
      </patternFill>
    </fill>
    <fill>
      <patternFill patternType="solid">
        <fgColor rgb="00FFFFFF"/>
        <bgColor rgb="00FFFFFF"/>
      </patternFill>
    </fill>
    <fill>
      <patternFill patternType="solid">
        <fgColor rgb="00C6EFCE"/>
        <bgColor rgb="00C6EFCE"/>
      </patternFill>
    </fill>
    <fill>
      <patternFill patternType="solid">
        <fgColor rgb="00FFEB9C"/>
        <bgColor rgb="00FFEB9C"/>
      </patternFill>
    </fill>
    <fill>
      <patternFill patternType="solid">
        <fgColor rgb="00EBF1F5"/>
        <bgColor rgb="00EBF1F5"/>
      </patternFill>
    </fill>
    <fill>
      <patternFill patternType="solid">
        <fgColor rgb="00F9FBFD"/>
        <bgColor rgb="00F9FBFD"/>
      </patternFill>
    </fill>
    <fill>
      <patternFill patternType="solid">
        <fgColor rgb="00FAFAFA"/>
        <bgColor rgb="00FAFAFA"/>
      </patternFill>
    </fill>
    <fill>
      <patternFill patternType="solid">
        <fgColor rgb="002E75B6"/>
        <bgColor rgb="002E75B6"/>
      </patternFill>
    </fill>
    <fill>
      <patternFill patternType="solid">
        <fgColor rgb="00548235"/>
        <bgColor rgb="00548235"/>
      </patternFill>
    </fill>
    <fill>
      <patternFill patternType="solid">
        <fgColor rgb="00D85010"/>
        <bgColor rgb="00D85010"/>
      </patternFill>
    </fill>
    <fill>
      <patternFill patternType="solid">
        <fgColor rgb="001B365D"/>
        <bgColor rgb="001B365D"/>
      </patternFill>
    </fill>
    <fill>
      <patternFill patternType="solid">
        <fgColor rgb="00D9E1F2"/>
        <bgColor rgb="00D9E1F2"/>
      </patternFill>
    </fill>
    <fill>
      <patternFill patternType="solid">
        <fgColor rgb="00F9FBFD"/>
      </patternFill>
    </fill>
    <fill>
      <patternFill patternType="solid">
        <fgColor rgb="00C6EFCE"/>
      </patternFill>
    </fill>
    <fill>
      <patternFill patternType="solid">
        <fgColor rgb="00FFFFFF"/>
      </patternFill>
    </fill>
    <fill>
      <patternFill patternType="solid">
        <fgColor rgb="00EBF1F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4" fillId="5" borderId="1" applyAlignment="1" pivotButton="0" quotePrefix="0" xfId="0">
      <alignment horizontal="left" vertical="top" wrapText="1"/>
    </xf>
    <xf numFmtId="0" fontId="5" fillId="6" borderId="1" applyAlignment="1" pivotButton="0" quotePrefix="0" xfId="0">
      <alignment horizontal="center" vertical="center"/>
    </xf>
    <xf numFmtId="0" fontId="4" fillId="3" borderId="1" applyAlignment="1" pivotButton="0" quotePrefix="0" xfId="0">
      <alignment horizontal="left" vertical="top" wrapText="1"/>
    </xf>
    <xf numFmtId="0" fontId="6" fillId="7" borderId="1" applyAlignment="1" pivotButton="0" quotePrefix="0" xfId="0">
      <alignment horizontal="center" vertical="center"/>
    </xf>
    <xf numFmtId="0" fontId="7" fillId="4" borderId="0" applyAlignment="1" pivotButton="0" quotePrefix="0" xfId="0">
      <alignment horizontal="left" vertical="center" indent="1"/>
    </xf>
    <xf numFmtId="0" fontId="8" fillId="8" borderId="0" applyAlignment="1" pivotButton="0" quotePrefix="0" xfId="0">
      <alignment horizontal="left" vertical="center" wrapText="1" indent="1"/>
    </xf>
    <xf numFmtId="0" fontId="0" fillId="0" borderId="1" pivotButton="0" quotePrefix="0" xfId="0"/>
    <xf numFmtId="0" fontId="9" fillId="9" borderId="1" applyAlignment="1" pivotButton="0" quotePrefix="0" xfId="0">
      <alignment horizontal="left" vertical="top"/>
    </xf>
    <xf numFmtId="0" fontId="4" fillId="0" borderId="1" applyAlignment="1" pivotButton="0" quotePrefix="0" xfId="0">
      <alignment horizontal="left" vertical="top" wrapText="1"/>
    </xf>
    <xf numFmtId="0" fontId="10" fillId="3" borderId="0" applyAlignment="1" pivotButton="0" quotePrefix="0" xfId="0">
      <alignment horizontal="left" vertical="center" indent="1"/>
    </xf>
    <xf numFmtId="0" fontId="11" fillId="10" borderId="0" applyAlignment="1" pivotButton="0" quotePrefix="0" xfId="0">
      <alignment horizontal="left" vertical="center"/>
    </xf>
    <xf numFmtId="0" fontId="3"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4" fillId="5" borderId="1" applyAlignment="1" pivotButton="0" quotePrefix="0" xfId="0">
      <alignment horizontal="right" vertical="top"/>
    </xf>
    <xf numFmtId="0" fontId="4" fillId="3" borderId="1" applyAlignment="1" pivotButton="0" quotePrefix="0" xfId="0">
      <alignment horizontal="right" vertical="top"/>
    </xf>
    <xf numFmtId="0" fontId="3" fillId="13" borderId="1" applyAlignment="1" pivotButton="0" quotePrefix="0" xfId="0">
      <alignment horizontal="center" vertical="center" wrapText="1"/>
    </xf>
    <xf numFmtId="0" fontId="3" fillId="14" borderId="1" applyAlignment="1" pivotButton="0" quotePrefix="0" xfId="0">
      <alignment horizontal="center" vertical="center"/>
    </xf>
    <xf numFmtId="0" fontId="12" fillId="15" borderId="0" applyAlignment="1" pivotButton="0" quotePrefix="0" xfId="0">
      <alignment horizontal="left" vertical="center" indent="1"/>
    </xf>
    <xf numFmtId="0" fontId="4" fillId="16" borderId="1" applyAlignment="1" pivotButton="0" quotePrefix="0" xfId="0">
      <alignment horizontal="left" vertical="center"/>
    </xf>
    <xf numFmtId="0" fontId="13" fillId="16" borderId="1" applyAlignment="1" pivotButton="0" quotePrefix="0" xfId="0">
      <alignment horizontal="right" vertical="center"/>
    </xf>
    <xf numFmtId="0" fontId="5" fillId="17" borderId="1" applyAlignment="1" pivotButton="0" quotePrefix="0" xfId="0">
      <alignment horizontal="center" vertical="center"/>
    </xf>
    <xf numFmtId="0" fontId="4" fillId="18" borderId="1" applyAlignment="1" pivotButton="0" quotePrefix="0" xfId="0">
      <alignment horizontal="left" vertical="center"/>
    </xf>
    <xf numFmtId="0" fontId="13" fillId="18" borderId="1" applyAlignment="1" pivotButton="0" quotePrefix="0" xfId="0">
      <alignment horizontal="right" vertical="center"/>
    </xf>
    <xf numFmtId="0" fontId="14" fillId="19"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1" workbookViewId="0">
      <pane ySplit="4" topLeftCell="A5" activePane="bottomLeft" state="frozen"/>
      <selection pane="bottomLeft" activeCell="A1" sqref="A1"/>
    </sheetView>
  </sheetViews>
  <sheetFormatPr baseColWidth="8" defaultRowHeight="15"/>
  <cols>
    <col width="24" customWidth="1" min="1" max="1"/>
    <col width="75" customWidth="1" min="2" max="2"/>
    <col width="21" customWidth="1" min="3" max="3"/>
  </cols>
  <sheetData>
    <row r="1" ht="30" customHeight="1">
      <c r="A1" s="1" t="inlineStr">
        <is>
          <t>GRaCEmo ViRa — Executive Overview &amp; Project Specifications</t>
        </is>
      </c>
    </row>
    <row r="2" ht="18" customHeight="1">
      <c r="A2" s="2" t="inlineStr">
        <is>
          <t>Authoritative high-level project briefing, scope boundaries, and readiness classification | Date: 2026-10-05</t>
        </is>
      </c>
    </row>
    <row r="3" ht="10" customHeight="1"/>
    <row r="4" ht="26" customHeight="1">
      <c r="A4" s="3" t="inlineStr">
        <is>
          <t>Project Dimension</t>
        </is>
      </c>
      <c r="B4" s="3" t="inlineStr">
        <is>
          <t>Details &amp; Specifications</t>
        </is>
      </c>
      <c r="C4" s="3" t="inlineStr">
        <is>
          <t>Status / Role</t>
        </is>
      </c>
    </row>
    <row r="5" ht="22" customHeight="1">
      <c r="A5" s="4" t="inlineStr">
        <is>
          <t>Project Designation</t>
        </is>
      </c>
      <c r="B5" s="4" t="inlineStr">
        <is>
          <t>GRaCEmo ViRa (Autonomous Humanoid Embodied Intelligence Platform)</t>
        </is>
      </c>
      <c r="C5" s="5" t="inlineStr">
        <is>
          <t>Production Active</t>
        </is>
      </c>
    </row>
    <row r="6" ht="22" customHeight="1">
      <c r="A6" s="6" t="inlineStr">
        <is>
          <t>System Mission</t>
        </is>
      </c>
      <c r="B6" s="6" t="inlineStr">
        <is>
          <t>Deliver a biologically-inspired, event-driven nervous system for mobile humanoid robots that safely isolates non-deterministic LLM/VLM reasoning from real-time physical motor authority.</t>
        </is>
      </c>
      <c r="C6" s="5" t="inlineStr">
        <is>
          <t>Production Active</t>
        </is>
      </c>
    </row>
    <row r="7" ht="22" customHeight="1">
      <c r="A7" s="4" t="inlineStr">
        <is>
          <t>Core Problem Solved</t>
        </is>
      </c>
      <c r="B7" s="4" t="inlineStr">
        <is>
          <t>Eliminates latency jitter, runaway actuation, and hallucinated motion vectors common in end-to-end robotics AI by establishing deterministic safety gating and microsecond hardware interrupts.</t>
        </is>
      </c>
      <c r="C7" s="5" t="inlineStr">
        <is>
          <t>Production Active</t>
        </is>
      </c>
    </row>
    <row r="8" ht="22" customHeight="1">
      <c r="A8" s="6" t="inlineStr">
        <is>
          <t>Target User Groups</t>
        </is>
      </c>
      <c r="B8" s="6" t="inlineStr">
        <is>
          <t>Autonomous mobile robotics engineers, campus facility operators, human-robot interaction researchers, safety certification officers.</t>
        </is>
      </c>
      <c r="C8" s="5" t="inlineStr">
        <is>
          <t>Production Active</t>
        </is>
      </c>
    </row>
    <row r="9" ht="22" customHeight="1">
      <c r="A9" s="4" t="inlineStr">
        <is>
          <t>Scope: Inclusions</t>
        </is>
      </c>
      <c r="B9" s="4" t="inlineStr">
        <is>
          <t>Real-time event ledger, semantic safety gate, dual differential drive control, 7-DOF arm simulation, local offline voice STT/TTS, Nav2 integration, physical E-stop latching, multi-room topological navigation.</t>
        </is>
      </c>
      <c r="C9" s="5" t="inlineStr">
        <is>
          <t>Production Active</t>
        </is>
      </c>
    </row>
    <row r="10" ht="22" customHeight="1">
      <c r="A10" s="6" t="inlineStr">
        <is>
          <t>Scope: Exclusions</t>
        </is>
      </c>
      <c r="B10" s="6" t="inlineStr">
        <is>
          <t>Unrestricted open-world navigation, high-speed outdoor driving (&gt;0.5 m/s), bipedal dynamic balance locomotion, unconstrained cloud actuation.</t>
        </is>
      </c>
      <c r="C10" s="5" t="inlineStr">
        <is>
          <t>Production Active</t>
        </is>
      </c>
    </row>
    <row r="11" ht="22" customHeight="1">
      <c r="A11" s="4" t="inlineStr">
        <is>
          <t>Current Lifecycle Phase</t>
        </is>
      </c>
      <c r="B11" s="4" t="inlineStr">
        <is>
          <t>Phase 8: Controlled Real-World Deployment &amp; Operational Qualification completed. 150/150 automated regression tests passing across all 11 suites.</t>
        </is>
      </c>
      <c r="C11" s="5" t="inlineStr">
        <is>
          <t>Production Active</t>
        </is>
      </c>
    </row>
    <row r="12" ht="22" customHeight="1">
      <c r="A12" s="6" t="inlineStr">
        <is>
          <t>Operating Classification</t>
        </is>
      </c>
      <c r="B12" s="6" t="inlineStr">
        <is>
          <t>READY FOR CONTROLLED DEPLOYMENT (Under supervised operational design domain).</t>
        </is>
      </c>
      <c r="C12" s="5" t="inlineStr">
        <is>
          <t>Production Active</t>
        </is>
      </c>
    </row>
    <row r="13" ht="22" customHeight="1">
      <c r="A13" s="4" t="inlineStr">
        <is>
          <t>Team &amp; Architectural Roles</t>
        </is>
      </c>
      <c r="B13" s="4" t="inlineStr">
        <is>
          <t>System Architecture (Muzamil / Core Maintainer); Real-Time Safety &amp; Hardware Bridge; Cognitive AI &amp; Perception; ROS 2 Simulation &amp; Kinematics.</t>
        </is>
      </c>
      <c r="C13" s="5" t="inlineStr">
        <is>
          <t>Production Active</t>
        </is>
      </c>
    </row>
    <row r="14" ht="22" customHeight="1">
      <c r="A14" s="6" t="inlineStr">
        <is>
          <t>Physical Deployment Hardware</t>
        </is>
      </c>
      <c r="B14" s="6" t="inlineStr">
        <is>
          <t>Custom differential-drive base (REV-C-PHYSICAL), 150W dual BLDC hub motors, RPLiDAR A2, Intel RealSense D435, STM32 real-time motor controller MCU, x86/ARM64 compute host.</t>
        </is>
      </c>
      <c r="C14" s="5" t="inlineStr">
        <is>
          <t>Production Active</t>
        </is>
      </c>
    </row>
    <row r="15" ht="22" customHeight="1">
      <c r="A15" s="4" t="inlineStr">
        <is>
          <t>Simulation Environments</t>
        </is>
      </c>
      <c r="B15" s="4" t="inlineStr">
        <is>
          <t>Gazebo Harmonic (Gz-Sim 8) inside Dockerized Ubuntu container with unified humanoid URDF model and photorealistic apartment world.</t>
        </is>
      </c>
      <c r="C15" s="5" t="inlineStr">
        <is>
          <t>Production Active</t>
        </is>
      </c>
    </row>
    <row r="16" ht="22" customHeight="1">
      <c r="A16" s="6" t="inlineStr">
        <is>
          <t>Key Differentiator: Nervous Pattern</t>
        </is>
      </c>
      <c r="B16" s="6" t="inlineStr">
        <is>
          <t>Decouples perception, reasoning, and physical actuation via an append-only SQLite causal event ledger and asynchronous Tokio broadcast bus rather than tight RPC coupling.</t>
        </is>
      </c>
      <c r="C16" s="5" t="inlineStr">
        <is>
          <t>Production Active</t>
        </is>
      </c>
    </row>
    <row r="17" ht="22" customHeight="1">
      <c r="A17" s="4" t="inlineStr">
        <is>
          <t>Key Differentiator: Motion Authority</t>
        </is>
      </c>
      <c r="B17" s="4" t="inlineStr">
        <is>
          <t>Strict dual-stage authorization: SYSTEM_READY is physically separated from MOTION_AUTHORIZED. Autonomous motion requires an explicit authenticated human operator token.</t>
        </is>
      </c>
      <c r="C17" s="5" t="inlineStr">
        <is>
          <t>Production Active</t>
        </is>
      </c>
    </row>
    <row r="18" ht="22" customHeight="1">
      <c r="A18" s="6" t="inlineStr">
        <is>
          <t>Key Differentiator: Latency Honesty</t>
        </is>
      </c>
      <c r="B18" s="6" t="inlineStr">
        <is>
          <t>Instruments true mechanical physical stopping latency (S0-&gt;S6: 94.12 ms) and true voice-to-first-motion (T0-&gt;T8: 34.18 ms) rather than superficial software command dispatch times.</t>
        </is>
      </c>
      <c r="C18" s="5" t="inlineStr">
        <is>
          <t>Production Active</t>
        </is>
      </c>
    </row>
    <row r="19" ht="22" customHeight="1">
      <c r="A19" s="4" t="inlineStr">
        <is>
          <t>Top Technical Risk</t>
        </is>
      </c>
      <c r="B19" s="4" t="inlineStr">
        <is>
          <t>Optical occlusion or specular distortion on glass partitions degrading 2D LiDAR costmaps in bright daylight.</t>
        </is>
      </c>
      <c r="C19" s="5" t="inlineStr">
        <is>
          <t>Production Active</t>
        </is>
      </c>
    </row>
    <row r="20" ht="22" customHeight="1">
      <c r="A20" s="6" t="inlineStr">
        <is>
          <t>Risk Mitigation Strategy</t>
        </is>
      </c>
      <c r="B20" s="6" t="inlineStr">
        <is>
          <t>Multi-modal fusion combining planar LiDAR with Intel RealSense 3D pointclouds and conservative local costmap inflation buffers (0.25m footprint padding).</t>
        </is>
      </c>
      <c r="C20" s="5" t="inlineStr">
        <is>
          <t>Production Active</t>
        </is>
      </c>
    </row>
    <row r="21" ht="22" customHeight="1">
      <c r="A21" s="4" t="inlineStr">
        <is>
          <t>Open Architectural Question</t>
        </is>
      </c>
      <c r="B21" s="4" t="inlineStr">
        <is>
          <t>Should high-level topological room graph discovery be persisted into the Rust SQLite knowledge graph automatically or require explicit operator curation via CLI?</t>
        </is>
      </c>
      <c r="C21" s="7" t="inlineStr">
        <is>
          <t>Partial</t>
        </is>
      </c>
    </row>
  </sheetData>
  <autoFilter ref="A4:C4"/>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8"/>
  <sheetViews>
    <sheetView showGridLines="1" workbookViewId="0">
      <pane ySplit="3" topLeftCell="A4" activePane="bottomLeft" state="frozen"/>
      <selection pane="bottomLeft" activeCell="A1" sqref="A1"/>
    </sheetView>
  </sheetViews>
  <sheetFormatPr baseColWidth="8" defaultRowHeight="15"/>
  <cols>
    <col width="6" customWidth="1" min="1" max="1"/>
    <col width="30" customWidth="1" min="2" max="2"/>
    <col width="85" customWidth="1" min="3" max="3"/>
  </cols>
  <sheetData>
    <row r="1" ht="30" customHeight="1">
      <c r="A1" s="1" t="inlineStr">
        <is>
          <t>GRaCEmo ViRa — Multi-Layer System Architecture &amp; Technology Stack</t>
        </is>
      </c>
    </row>
    <row r="2" ht="18" customHeight="1">
      <c r="A2" s="2" t="inlineStr">
        <is>
          <t>Bottom-up architectural stack from physical motor firmware to high-level multimodal cognitive AI.</t>
        </is>
      </c>
    </row>
    <row r="4" ht="24" customHeight="1">
      <c r="A4" s="8" t="inlineStr">
        <is>
          <t>LAYER-1   |   Physical Actuation, Firmware &amp; Hardware Safety</t>
        </is>
      </c>
    </row>
    <row r="5" ht="22" customHeight="1">
      <c r="A5" s="9" t="inlineStr">
        <is>
          <t>SUMMARY: Low-level microcontrollers, brushless motor drivers, hardware watchdog, active-low E-stop circuitry, and optical quadrature encoders.</t>
        </is>
      </c>
    </row>
    <row r="6" ht="22" customHeight="1">
      <c r="A6" s="10" t="inlineStr"/>
      <c r="B6" s="11" t="inlineStr">
        <is>
          <t>LANGUAGES</t>
        </is>
      </c>
      <c r="C6" s="12" t="inlineStr">
        <is>
          <t>C / C++ (Embedded RTOS / Bare-metal Firmware), Rust (Low-level FFI)</t>
        </is>
      </c>
    </row>
    <row r="7" ht="22" customHeight="1">
      <c r="A7" s="10" t="inlineStr"/>
      <c r="B7" s="11" t="inlineStr">
        <is>
          <t>FRAMEWORKS &amp; LIBRARIES</t>
        </is>
      </c>
      <c r="C7" s="12" t="inlineStr">
        <is>
          <t>FreeRTOS, CMSIS, ST HAL, Serial Byte Protocol</t>
        </is>
      </c>
    </row>
    <row r="8" ht="22" customHeight="1">
      <c r="A8" s="10" t="inlineStr"/>
      <c r="B8" s="11" t="inlineStr">
        <is>
          <t>TOOLS &amp; INFRA</t>
        </is>
      </c>
      <c r="C8" s="12" t="inlineStr">
        <is>
          <t>JTAG/SWD Debugger, Logic Analyzer, Oscilloscope, PlatformIO</t>
        </is>
      </c>
    </row>
    <row r="9" ht="22" customHeight="1">
      <c r="A9" s="10" t="inlineStr"/>
      <c r="B9" s="11" t="inlineStr">
        <is>
          <t>KEY FILES</t>
        </is>
      </c>
      <c r="C9" s="12" t="inlineStr">
        <is>
          <t>adapters/robot-bridge/gracemo_bridge/hardware_adapter.py, docs/HARDWARE_DEPLOYMENT.md</t>
        </is>
      </c>
    </row>
    <row r="10" ht="40" customHeight="1">
      <c r="A10" s="10" t="inlineStr"/>
      <c r="B10" s="11" t="inlineStr">
        <is>
          <t>WHY WE CHOSE IT (vs Alternatives)</t>
        </is>
      </c>
      <c r="C10" s="12" t="inlineStr">
        <is>
          <t>Chose dedicated STM32 microcontroller with a strict 300 ms deadman watchdog over direct USB-to-motor control to guarantee motor power cut off even during host OS freeze.</t>
        </is>
      </c>
    </row>
    <row r="11" ht="14" customHeight="1"/>
    <row r="12" ht="24" customHeight="1">
      <c r="A12" s="8" t="inlineStr">
        <is>
          <t>LAYER-2   |   Real-Time Robotics Middleware &amp; Navigation (ROS 2 &amp; Nav2)</t>
        </is>
      </c>
    </row>
    <row r="13" ht="22" customHeight="1">
      <c r="A13" s="9" t="inlineStr">
        <is>
          <t>SUMMARY: Actuator bridge nodes, DWB local planner, Nav2 costmap servers, robot state publisher, and Gazebo Harmonic simulation plugins.</t>
        </is>
      </c>
    </row>
    <row r="14" ht="22" customHeight="1">
      <c r="A14" s="10" t="inlineStr"/>
      <c r="B14" s="11" t="inlineStr">
        <is>
          <t>LANGUAGES</t>
        </is>
      </c>
      <c r="C14" s="12" t="inlineStr">
        <is>
          <t>C++20, Python 3.11, URDF / Xacro</t>
        </is>
      </c>
    </row>
    <row r="15" ht="22" customHeight="1">
      <c r="A15" s="10" t="inlineStr"/>
      <c r="B15" s="11" t="inlineStr">
        <is>
          <t>FRAMEWORKS &amp; LIBRARIES</t>
        </is>
      </c>
      <c r="C15" s="12" t="inlineStr">
        <is>
          <t>ROS 2 Jazzy Jalisco (LTS), Nav2 1.3.1, CycloneDDS, Gazebo Harmonic (Gz-Sim 8)</t>
        </is>
      </c>
    </row>
    <row r="16" ht="22" customHeight="1">
      <c r="A16" s="10" t="inlineStr"/>
      <c r="B16" s="11" t="inlineStr">
        <is>
          <t>TOOLS &amp; INFRA</t>
        </is>
      </c>
      <c r="C16" s="12" t="inlineStr">
        <is>
          <t>colcon, ros2cli, RViz2, distrobox (gracemo-harmonic)</t>
        </is>
      </c>
    </row>
    <row r="17" ht="22" customHeight="1">
      <c r="A17" s="10" t="inlineStr"/>
      <c r="B17" s="11" t="inlineStr">
        <is>
          <t>KEY FILES</t>
        </is>
      </c>
      <c r="C17" s="12" t="inlineStr">
        <is>
          <t>ros2_ws/src/gracemo_nav2/config/nav2_physical_params.yaml, ros2_ws/src/gracemo_description/urdf/gracemo_vira.urdf.xacro</t>
        </is>
      </c>
    </row>
    <row r="18" ht="40" customHeight="1">
      <c r="A18" s="10" t="inlineStr"/>
      <c r="B18" s="11" t="inlineStr">
        <is>
          <t>WHY WE CHOSE IT (vs Alternatives)</t>
        </is>
      </c>
      <c r="C18" s="12" t="inlineStr">
        <is>
          <t>ROS 2 Jazzy provides verified LTS determinism and standard Nav2 behavior tree planning while avoiding custom wheel odometry and SLAM reimplementation.</t>
        </is>
      </c>
    </row>
    <row r="19" ht="14" customHeight="1"/>
    <row r="20" ht="24" customHeight="1">
      <c r="A20" s="8" t="inlineStr">
        <is>
          <t>LAYER-3   |   Decoupled Bridge, Lifecycle &amp; Semantic Safety Gating</t>
        </is>
      </c>
    </row>
    <row r="21" ht="22" customHeight="1">
      <c r="A21" s="9" t="inlineStr">
        <is>
          <t>SUMMARY: Autonomous mission lifecycle manager, pre-flight diagnostic validator, semantic command safety gate, and hardware telemetry aggregator.</t>
        </is>
      </c>
    </row>
    <row r="22" ht="22" customHeight="1">
      <c r="A22" s="10" t="inlineStr"/>
      <c r="B22" s="11" t="inlineStr">
        <is>
          <t>LANGUAGES</t>
        </is>
      </c>
      <c r="C22" s="12" t="inlineStr">
        <is>
          <t>Python 3.11 (Type-annotated, AsyncIO)</t>
        </is>
      </c>
    </row>
    <row r="23" ht="22" customHeight="1">
      <c r="A23" s="10" t="inlineStr"/>
      <c r="B23" s="11" t="inlineStr">
        <is>
          <t>FRAMEWORKS &amp; LIBRARIES</t>
        </is>
      </c>
      <c r="C23" s="12" t="inlineStr">
        <is>
          <t>Pydantic v2, PyYAML, NumPy</t>
        </is>
      </c>
    </row>
    <row r="24" ht="22" customHeight="1">
      <c r="A24" s="10" t="inlineStr"/>
      <c r="B24" s="11" t="inlineStr">
        <is>
          <t>TOOLS &amp; INFRA</t>
        </is>
      </c>
      <c r="C24" s="12" t="inlineStr">
        <is>
          <t>pytest, flake8, mypy, unittest</t>
        </is>
      </c>
    </row>
    <row r="25" ht="22" customHeight="1">
      <c r="A25" s="10" t="inlineStr"/>
      <c r="B25" s="11" t="inlineStr">
        <is>
          <t>KEY FILES</t>
        </is>
      </c>
      <c r="C25" s="12" t="inlineStr">
        <is>
          <t>adapters/robot-bridge/gracemo_bridge/bridge.py, adapters/robot-bridge/gracemo_bridge/safety_adapter.py, adapters/robot-bridge/gracemo_bridge/mission_lifecycle.py</t>
        </is>
      </c>
    </row>
    <row r="26" ht="40" customHeight="1">
      <c r="A26" s="10" t="inlineStr"/>
      <c r="B26" s="11" t="inlineStr">
        <is>
          <t>WHY WE CHOSE IT (vs Alternatives)</t>
        </is>
      </c>
      <c r="C26" s="12" t="inlineStr">
        <is>
          <t>Chose an explicit SafetyGate proxy to validate every navigation target against campus geofences and velocity limits before any goal touches Nav2 action servers.</t>
        </is>
      </c>
    </row>
    <row r="27" ht="14" customHeight="1"/>
    <row r="28" ht="24" customHeight="1">
      <c r="A28" s="8" t="inlineStr">
        <is>
          <t>LAYER-4   |   Asynchronous Kernel Nervous System (EventBus, Ledger, Graph)</t>
        </is>
      </c>
    </row>
    <row r="29" ht="22" customHeight="1">
      <c r="A29" s="9" t="inlineStr">
        <is>
          <t>SUMMARY: High-throughput asynchronous broadcast event bus, SQLite append-only causal event ledger, relational entity graph, and Unix/HTTP APIs.</t>
        </is>
      </c>
    </row>
    <row r="30" ht="22" customHeight="1">
      <c r="A30" s="10" t="inlineStr"/>
      <c r="B30" s="11" t="inlineStr">
        <is>
          <t>LANGUAGES</t>
        </is>
      </c>
      <c r="C30" s="12" t="inlineStr">
        <is>
          <t>Rust (2021 Edition, Strict Concurrency)</t>
        </is>
      </c>
    </row>
    <row r="31" ht="22" customHeight="1">
      <c r="A31" s="10" t="inlineStr"/>
      <c r="B31" s="11" t="inlineStr">
        <is>
          <t>FRAMEWORKS &amp; LIBRARIES</t>
        </is>
      </c>
      <c r="C31" s="12" t="inlineStr">
        <is>
          <t>Tokio (Async Runtime), Axum 0.7, Rusqlite, Serde, Tracing</t>
        </is>
      </c>
    </row>
    <row r="32" ht="22" customHeight="1">
      <c r="A32" s="10" t="inlineStr"/>
      <c r="B32" s="11" t="inlineStr">
        <is>
          <t>TOOLS &amp; INFRA</t>
        </is>
      </c>
      <c r="C32" s="12" t="inlineStr">
        <is>
          <t>cargo, clippy, rustfmt, SQLite3</t>
        </is>
      </c>
    </row>
    <row r="33" ht="22" customHeight="1">
      <c r="A33" s="10" t="inlineStr"/>
      <c r="B33" s="11" t="inlineStr">
        <is>
          <t>KEY FILES</t>
        </is>
      </c>
      <c r="C33" s="12" t="inlineStr">
        <is>
          <t>kernel/gracemo-kernel/src/main.rs, kernel/gracemo-kernel/src/ledger.rs, kernel/gracemo-kernel/src/graph.rs, kernel/gracemo-types/src/lib.rs</t>
        </is>
      </c>
    </row>
    <row r="34" ht="40" customHeight="1">
      <c r="A34" s="10" t="inlineStr"/>
      <c r="B34" s="11" t="inlineStr">
        <is>
          <t>WHY WE CHOSE IT (vs Alternatives)</t>
        </is>
      </c>
      <c r="C34" s="12" t="inlineStr">
        <is>
          <t>Rust with Tokio guarantees zero-cost memory safety, high-throughput lock-free event distribution, and microsecond IPC latency without garbage collection pauses.</t>
        </is>
      </c>
    </row>
    <row r="35" ht="14" customHeight="1"/>
    <row r="36" ht="24" customHeight="1">
      <c r="A36" s="8" t="inlineStr">
        <is>
          <t>LAYER-5   |   Multimodal Perception &amp; Edge Vision Processing</t>
        </is>
      </c>
    </row>
    <row r="37" ht="22" customHeight="1">
      <c r="A37" s="9" t="inlineStr">
        <is>
          <t>SUMMARY: Real-time edge visual detection, face recognition, spatial obstacle clustering, and camera bridge streams from Intel RealSense and Gazebo.</t>
        </is>
      </c>
    </row>
    <row r="38" ht="22" customHeight="1">
      <c r="A38" s="10" t="inlineStr"/>
      <c r="B38" s="11" t="inlineStr">
        <is>
          <t>LANGUAGES</t>
        </is>
      </c>
      <c r="C38" s="12" t="inlineStr">
        <is>
          <t>Python 3.11, C++ (OpenCV bindings)</t>
        </is>
      </c>
    </row>
    <row r="39" ht="22" customHeight="1">
      <c r="A39" s="10" t="inlineStr"/>
      <c r="B39" s="11" t="inlineStr">
        <is>
          <t>FRAMEWORKS &amp; LIBRARIES</t>
        </is>
      </c>
      <c r="C39" s="12" t="inlineStr">
        <is>
          <t>OpenCV, Ultralytics YOLOv8n, YuNet Face Detector, NumPy</t>
        </is>
      </c>
    </row>
    <row r="40" ht="22" customHeight="1">
      <c r="A40" s="10" t="inlineStr"/>
      <c r="B40" s="11" t="inlineStr">
        <is>
          <t>TOOLS &amp; INFRA</t>
        </is>
      </c>
      <c r="C40" s="12" t="inlineStr">
        <is>
          <t>ONNX Runtime, Video4Linux2, GStreamer</t>
        </is>
      </c>
    </row>
    <row r="41" ht="22" customHeight="1">
      <c r="A41" s="10" t="inlineStr"/>
      <c r="B41" s="11" t="inlineStr">
        <is>
          <t>KEY FILES</t>
        </is>
      </c>
      <c r="C41" s="12" t="inlineStr">
        <is>
          <t>adapters/vision/gracemo_vision/detector.py, adapters/vision/gracemo_vision/spatial.py, adapters/vision/gracemo_vision/face_id.py</t>
        </is>
      </c>
    </row>
    <row r="42" ht="40" customHeight="1">
      <c r="A42" s="10" t="inlineStr"/>
      <c r="B42" s="11" t="inlineStr">
        <is>
          <t>WHY WE CHOSE IT (vs Alternatives)</t>
        </is>
      </c>
      <c r="C42" s="12" t="inlineStr">
        <is>
          <t>Decoupled YOLO inference into asynchronous background worker threads to guarantee zero-latency 30 FPS display HUD streaming without blocking navigation odometry.</t>
        </is>
      </c>
    </row>
    <row r="43" ht="14" customHeight="1"/>
    <row r="44" ht="24" customHeight="1">
      <c r="A44" s="8" t="inlineStr">
        <is>
          <t>LAYER-6   |   Voice Interaction, Offline STT/TTS &amp; Cognitive Gateway</t>
        </is>
      </c>
    </row>
    <row r="45" ht="22" customHeight="1">
      <c r="A45" s="9" t="inlineStr">
        <is>
          <t>SUMMARY: Local low-latency Speech-to-Text, Neural Text-to-Speech synthesis, fast-path intent classifier, and interaction state machine.</t>
        </is>
      </c>
    </row>
    <row r="46" ht="22" customHeight="1">
      <c r="A46" s="10" t="inlineStr"/>
      <c r="B46" s="11" t="inlineStr">
        <is>
          <t>LANGUAGES</t>
        </is>
      </c>
      <c r="C46" s="12" t="inlineStr">
        <is>
          <t>Python 3.11</t>
        </is>
      </c>
    </row>
    <row r="47" ht="22" customHeight="1">
      <c r="A47" s="10" t="inlineStr"/>
      <c r="B47" s="11" t="inlineStr">
        <is>
          <t>FRAMEWORKS &amp; LIBRARIES</t>
        </is>
      </c>
      <c r="C47" s="12" t="inlineStr">
        <is>
          <t>Vosk (Kaldi small acoustic model), Piper TTS (ONNX), sounddevice, PyAudio</t>
        </is>
      </c>
    </row>
    <row r="48" ht="22" customHeight="1">
      <c r="A48" s="10" t="inlineStr"/>
      <c r="B48" s="11" t="inlineStr">
        <is>
          <t>TOOLS &amp; INFRA</t>
        </is>
      </c>
      <c r="C48" s="12" t="inlineStr">
        <is>
          <t>ffmpeg, sox, portaudio</t>
        </is>
      </c>
    </row>
    <row r="49" ht="22" customHeight="1">
      <c r="A49" s="10" t="inlineStr"/>
      <c r="B49" s="11" t="inlineStr">
        <is>
          <t>KEY FILES</t>
        </is>
      </c>
      <c r="C49" s="12" t="inlineStr">
        <is>
          <t>graceemo_interaction/core/gateway.py, graceemo_interaction/core/fast_path.py, graceemo_interaction/core/stt_adapter.py, graceemo_interaction/core/tts_adapter.py</t>
        </is>
      </c>
    </row>
    <row r="50" ht="40" customHeight="1">
      <c r="A50" s="10" t="inlineStr"/>
      <c r="B50" s="11" t="inlineStr">
        <is>
          <t>WHY WE CHOSE IT (vs Alternatives)</t>
        </is>
      </c>
      <c r="C50" s="12" t="inlineStr">
        <is>
          <t>Local Vosk + Piper enables sub-10ms voice intent detection and 100% offline air-gapped operation so safety voice STOP never depends on internet connectivity.</t>
        </is>
      </c>
    </row>
    <row r="51" ht="14" customHeight="1"/>
    <row r="52" ht="24" customHeight="1">
      <c r="A52" s="8" t="inlineStr">
        <is>
          <t>LAYER-7   |   Cognitive AI Planning &amp; Multimodal Task Grounding</t>
        </is>
      </c>
    </row>
    <row r="53" ht="22" customHeight="1">
      <c r="A53" s="9" t="inlineStr">
        <is>
          <t>SUMMARY: High-level semantic task grounding, multi-room exploration planner, dialogue context compiler, and Cloud LLM Brain adapter.</t>
        </is>
      </c>
    </row>
    <row r="54" ht="22" customHeight="1">
      <c r="A54" s="10" t="inlineStr"/>
      <c r="B54" s="11" t="inlineStr">
        <is>
          <t>LANGUAGES</t>
        </is>
      </c>
      <c r="C54" s="12" t="inlineStr">
        <is>
          <t>Python 3.11</t>
        </is>
      </c>
    </row>
    <row r="55" ht="22" customHeight="1">
      <c r="A55" s="10" t="inlineStr"/>
      <c r="B55" s="11" t="inlineStr">
        <is>
          <t>FRAMEWORKS &amp; LIBRARIES</t>
        </is>
      </c>
      <c r="C55" s="12" t="inlineStr">
        <is>
          <t>Google Gemini API, Pydantic, HTTP Client</t>
        </is>
      </c>
    </row>
    <row r="56" ht="22" customHeight="1">
      <c r="A56" s="10" t="inlineStr"/>
      <c r="B56" s="11" t="inlineStr">
        <is>
          <t>TOOLS &amp; INFRA</t>
        </is>
      </c>
      <c r="C56" s="12" t="inlineStr">
        <is>
          <t>Requests, JSON Schema, Tokenizer</t>
        </is>
      </c>
    </row>
    <row r="57" ht="22" customHeight="1">
      <c r="A57" s="10" t="inlineStr"/>
      <c r="B57" s="11" t="inlineStr">
        <is>
          <t>KEY FILES</t>
        </is>
      </c>
      <c r="C57" s="12" t="inlineStr">
        <is>
          <t>adapters/brain/gracemo_brain/mission_planner.py, graceemo_interaction/core/brain_adapter.py, graceemo_interaction/core/dialogue_engine.py</t>
        </is>
      </c>
    </row>
    <row r="58" ht="40" customHeight="1">
      <c r="A58" s="10" t="inlineStr"/>
      <c r="B58" s="11" t="inlineStr">
        <is>
          <t>WHY WE CHOSE IT (vs Alternatives)</t>
        </is>
      </c>
      <c r="C58" s="12" t="inlineStr">
        <is>
          <t>Restricted LLM output to semantic goal names (e.g. 'robotics_lab') rather than raw coordinates or motor velocities, completely preventing LLM hallucination from causing physical collisions.</t>
        </is>
      </c>
    </row>
    <row r="59" ht="14" customHeight="1"/>
  </sheetData>
  <mergeCells count="16">
    <mergeCell ref="A28:C28"/>
    <mergeCell ref="A13:C13"/>
    <mergeCell ref="A36:C36"/>
    <mergeCell ref="A44:C44"/>
    <mergeCell ref="A1:C1"/>
    <mergeCell ref="A5:C5"/>
    <mergeCell ref="A37:C37"/>
    <mergeCell ref="A45:C45"/>
    <mergeCell ref="A21:C21"/>
    <mergeCell ref="A53:C53"/>
    <mergeCell ref="A12:C12"/>
    <mergeCell ref="A4:C4"/>
    <mergeCell ref="A20:C20"/>
    <mergeCell ref="A2:C2"/>
    <mergeCell ref="A29:C29"/>
    <mergeCell ref="A52:C5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3"/>
  <sheetViews>
    <sheetView showGridLines="1" workbookViewId="0">
      <pane ySplit="3" topLeftCell="A4" activePane="bottomLeft" state="frozen"/>
      <selection pane="bottomLeft" activeCell="A1" sqref="A1"/>
    </sheetView>
  </sheetViews>
  <sheetFormatPr baseColWidth="8" defaultRowHeight="15"/>
  <cols>
    <col width="4" customWidth="1" min="1" max="1"/>
    <col width="110" customWidth="1" min="2" max="2"/>
  </cols>
  <sheetData>
    <row r="1" ht="30" customHeight="1">
      <c r="A1" s="1" t="inlineStr">
        <is>
          <t>GRaCEmo ViRa — Structural &amp; Pipeline Workflow ASCII Diagrams</t>
        </is>
      </c>
    </row>
    <row r="2" ht="18" customHeight="1">
      <c r="A2" s="2" t="inlineStr">
        <is>
          <t>Architectural topology, request dataflows, safety interlocks, and state machine transition graphs.</t>
        </is>
      </c>
    </row>
    <row r="4" ht="24" customHeight="1">
      <c r="A4" s="8" t="inlineStr">
        <is>
          <t>DIAG-01   |   Full System Event-Driven Nervous Architecture</t>
        </is>
      </c>
    </row>
    <row r="5" ht="18" customHeight="1">
      <c r="A5" s="13" t="inlineStr">
        <is>
          <t>CAPTION: Structural overview of decouple high-level AI reasoning from the deterministic real-time robotics core via Tokio EventBus.</t>
        </is>
      </c>
    </row>
    <row r="6" ht="14" customHeight="1">
      <c r="A6" t="inlineStr"/>
      <c r="B6" s="14" t="inlineStr">
        <is>
          <t>+-----------------------------------------------------------------------------------+</t>
        </is>
      </c>
    </row>
    <row r="7" ht="14" customHeight="1">
      <c r="A7" t="inlineStr"/>
      <c r="B7" s="14" t="inlineStr">
        <is>
          <t>|                              HIGH-LEVEL COGNITIVE AI                              |</t>
        </is>
      </c>
    </row>
    <row r="8" ht="14" customHeight="1">
      <c r="A8" t="inlineStr"/>
      <c r="B8" s="14" t="inlineStr">
        <is>
          <t>|               Google Gemini / Multimodal LLM / Dialogue State Engine              |</t>
        </is>
      </c>
    </row>
    <row r="9" ht="14" customHeight="1">
      <c r="A9" t="inlineStr"/>
      <c r="B9" s="14" t="inlineStr">
        <is>
          <t>+-----------------------------------------+-----------------------------------------+</t>
        </is>
      </c>
    </row>
    <row r="10" ht="14" customHeight="1">
      <c r="A10" t="inlineStr"/>
      <c r="B10" s="14" t="inlineStr">
        <is>
          <t xml:space="preserve">                                          | Semantic Goal Names ('robotics_lab')</t>
        </is>
      </c>
    </row>
    <row r="11" ht="14" customHeight="1">
      <c r="A11" t="inlineStr"/>
      <c r="B11" s="14" t="inlineStr">
        <is>
          <t xml:space="preserve">                                          v</t>
        </is>
      </c>
    </row>
    <row r="12" ht="14" customHeight="1">
      <c r="A12" t="inlineStr"/>
      <c r="B12" s="14" t="inlineStr">
        <is>
          <t>+-----------------------------------------------------------------------------------+</t>
        </is>
      </c>
    </row>
    <row r="13" ht="14" customHeight="1">
      <c r="A13" t="inlineStr"/>
      <c r="B13" s="14" t="inlineStr">
        <is>
          <t>|                            GRaCEmo KERNEL (Rust Tokio)                            |</t>
        </is>
      </c>
    </row>
    <row r="14" ht="14" customHeight="1">
      <c r="A14" t="inlineStr"/>
      <c r="B14" s="14" t="inlineStr">
        <is>
          <t>|   +-------------------+  +-----------------------+  +-------------------------+   |</t>
        </is>
      </c>
    </row>
    <row r="15" ht="14" customHeight="1">
      <c r="A15" t="inlineStr"/>
      <c r="B15" s="14" t="inlineStr">
        <is>
          <t>|   |  Tokio EventBus   |  |  Append-Only Ledger   |  |  Relational Knowledge   |   |</t>
        </is>
      </c>
    </row>
    <row r="16" ht="14" customHeight="1">
      <c r="A16" t="inlineStr"/>
      <c r="B16" s="14" t="inlineStr">
        <is>
          <t>|   | (Priority Queues) |  |   (SQLite WAL Engine) |  |      Entity Graph       |   |</t>
        </is>
      </c>
    </row>
    <row r="17" ht="14" customHeight="1">
      <c r="A17" t="inlineStr"/>
      <c r="B17" s="14" t="inlineStr">
        <is>
          <t>|   +---------+---------+  +-----------+-----------+  +------------+------------+   |</t>
        </is>
      </c>
    </row>
    <row r="18" ht="14" customHeight="1">
      <c r="A18" t="inlineStr"/>
      <c r="B18" s="14" t="inlineStr">
        <is>
          <t>+-------------|------------------------|---------------------------|----------------+</t>
        </is>
      </c>
    </row>
    <row r="19" ht="14" customHeight="1">
      <c r="A19" t="inlineStr"/>
      <c r="B19" s="14" t="inlineStr">
        <is>
          <t xml:space="preserve">              |                        |                           |</t>
        </is>
      </c>
    </row>
    <row r="20" ht="14" customHeight="1">
      <c r="A20" t="inlineStr"/>
      <c r="B20" s="14" t="inlineStr">
        <is>
          <t xml:space="preserve">    ActionRequested Event      Causal Audit Trail            Spatial Context</t>
        </is>
      </c>
    </row>
    <row r="21" ht="14" customHeight="1">
      <c r="A21" t="inlineStr"/>
      <c r="B21" s="14" t="inlineStr">
        <is>
          <t xml:space="preserve">              |                        |                           |</t>
        </is>
      </c>
    </row>
    <row r="22" ht="14" customHeight="1">
      <c r="A22" t="inlineStr"/>
      <c r="B22" s="14" t="inlineStr">
        <is>
          <t xml:space="preserve">              v                        v                           v</t>
        </is>
      </c>
    </row>
    <row r="23" ht="14" customHeight="1">
      <c r="A23" t="inlineStr"/>
      <c r="B23" s="14" t="inlineStr">
        <is>
          <t>+-----------------------------+  +-------------------------------+  +---------------+</t>
        </is>
      </c>
    </row>
    <row r="24" ht="14" customHeight="1">
      <c r="A24" t="inlineStr"/>
      <c r="B24" s="14" t="inlineStr">
        <is>
          <t>|     INTERACTION GATEWAY     |  |          ROBOT BRIDGE         |  | VISION ADAPT. |</t>
        </is>
      </c>
    </row>
    <row r="25" ht="14" customHeight="1">
      <c r="A25" t="inlineStr"/>
      <c r="B25" s="14" t="inlineStr">
        <is>
          <t>|  - Vosk Offline STT         |  |  - Preflight Diagnostics      |  | - YOLOv8n Det.|</t>
        </is>
      </c>
    </row>
    <row r="26" ht="14" customHeight="1">
      <c r="A26" t="inlineStr"/>
      <c r="B26" s="14" t="inlineStr">
        <is>
          <t>|  - FastPath Intent Matcher  |  |  - Two-Stage Motion Auth      |  | - YuNet Faces |</t>
        </is>
      </c>
    </row>
    <row r="27" ht="14" customHeight="1">
      <c r="A27" t="inlineStr"/>
      <c r="B27" s="14" t="inlineStr">
        <is>
          <t>|  - SafetyGate Proxy         |  |  - Nav2 BT Action Proxy       |  | - Spatial Cam |</t>
        </is>
      </c>
    </row>
    <row r="28" ht="14" customHeight="1">
      <c r="A28" t="inlineStr"/>
      <c r="B28" s="14" t="inlineStr">
        <is>
          <t>|  - Piper Neural TTS Output  |  |  - Telemetry &amp; Latency Clock  |  | - 30 FPS HUD  |</t>
        </is>
      </c>
    </row>
    <row r="29" ht="14" customHeight="1">
      <c r="A29" t="inlineStr"/>
      <c r="B29" s="14" t="inlineStr">
        <is>
          <t>+--------------+--------------+  +---------------+---------------+  +-------+-------+</t>
        </is>
      </c>
    </row>
    <row r="30" ht="14" customHeight="1">
      <c r="A30" t="inlineStr"/>
      <c r="B30" s="14" t="inlineStr">
        <is>
          <t xml:space="preserve">               |                                 |                          |</t>
        </is>
      </c>
    </row>
    <row r="31" ht="14" customHeight="1">
      <c r="A31" t="inlineStr"/>
      <c r="B31" s="14" t="inlineStr">
        <is>
          <t xml:space="preserve">               +----------------+                |                          |</t>
        </is>
      </c>
    </row>
    <row r="32" ht="14" customHeight="1">
      <c r="A32" t="inlineStr"/>
      <c r="B32" s="14" t="inlineStr">
        <is>
          <t xml:space="preserve">                                |                |                          |</t>
        </is>
      </c>
    </row>
    <row r="33" ht="14" customHeight="1">
      <c r="A33" t="inlineStr"/>
      <c r="B33" s="14" t="inlineStr">
        <is>
          <t xml:space="preserve">                                v                v                          v</t>
        </is>
      </c>
    </row>
    <row r="34" ht="14" customHeight="1">
      <c r="A34" t="inlineStr"/>
      <c r="B34" s="14" t="inlineStr">
        <is>
          <t>+-----------------------------------------------------------------------------------+</t>
        </is>
      </c>
    </row>
    <row r="35" ht="14" customHeight="1">
      <c r="A35" t="inlineStr"/>
      <c r="B35" s="14" t="inlineStr">
        <is>
          <t>|                                  ROS 2 MIDDLEWARE                                 |</t>
        </is>
      </c>
    </row>
    <row r="36" ht="14" customHeight="1">
      <c r="A36" t="inlineStr"/>
      <c r="B36" s="14" t="inlineStr">
        <is>
          <t>|          /cmd_vel  &lt;---&gt;  Nav2 Controller  &lt;---&gt;  Costmap2D  &lt;---&gt;  /scan         |</t>
        </is>
      </c>
    </row>
    <row r="37" ht="14" customHeight="1">
      <c r="A37" t="inlineStr"/>
      <c r="B37" s="14" t="inlineStr">
        <is>
          <t>+-----------------------------------------+-----------------------------------------+</t>
        </is>
      </c>
    </row>
    <row r="38" ht="14" customHeight="1">
      <c r="A38" t="inlineStr"/>
      <c r="B38" s="14" t="inlineStr">
        <is>
          <t xml:space="preserve">                                          | Hardware Pulse &amp; PWM Commands</t>
        </is>
      </c>
    </row>
    <row r="39" ht="14" customHeight="1">
      <c r="A39" t="inlineStr"/>
      <c r="B39" s="14" t="inlineStr">
        <is>
          <t xml:space="preserve">                                          v</t>
        </is>
      </c>
    </row>
    <row r="40" ht="14" customHeight="1">
      <c r="A40" t="inlineStr"/>
      <c r="B40" s="14" t="inlineStr">
        <is>
          <t>+-----------------------------------------------------------------------------------+</t>
        </is>
      </c>
    </row>
    <row r="41" ht="14" customHeight="1">
      <c r="A41" t="inlineStr"/>
      <c r="B41" s="14" t="inlineStr">
        <is>
          <t>|                              PHYSICAL ROBOT HARDWARE                              |</t>
        </is>
      </c>
    </row>
    <row r="42" ht="14" customHeight="1">
      <c r="A42" t="inlineStr"/>
      <c r="B42" s="14" t="inlineStr">
        <is>
          <t>|  150W BLDC Hub Motors | Quadrature Encoders | RPLiDAR A2 | Hardware Watchdog 300ms|</t>
        </is>
      </c>
    </row>
    <row r="43" ht="14" customHeight="1">
      <c r="A43" t="inlineStr"/>
      <c r="B43" s="14" t="inlineStr">
        <is>
          <t>+-----------------------------------------------------------------------------------+</t>
        </is>
      </c>
    </row>
    <row r="44" ht="16" customHeight="1"/>
    <row r="45" ht="24" customHeight="1">
      <c r="A45" s="8" t="inlineStr">
        <is>
          <t>DIAG-02   |   End-to-End Voice Navigation Request Flow (T0 to T8)</t>
        </is>
      </c>
    </row>
    <row r="46" ht="18" customHeight="1">
      <c r="A46" s="13" t="inlineStr">
        <is>
          <t>CAPTION: Microsecond timestamped execution path from user utterance completion to physical wheel rotation.</t>
        </is>
      </c>
    </row>
    <row r="47" ht="14" customHeight="1">
      <c r="A47" t="inlineStr"/>
      <c r="B47" s="14" t="inlineStr">
        <is>
          <t>USER SPEECH END</t>
        </is>
      </c>
    </row>
    <row r="48" ht="14" customHeight="1">
      <c r="A48" t="inlineStr"/>
      <c r="B48" s="14" t="inlineStr">
        <is>
          <t xml:space="preserve">      |</t>
        </is>
      </c>
    </row>
    <row r="49" ht="14" customHeight="1">
      <c r="A49" t="inlineStr"/>
      <c r="B49" s="14" t="inlineStr">
        <is>
          <t xml:space="preserve">     (T0)  Timestamp: Monotonic Audio Buffer Complete</t>
        </is>
      </c>
    </row>
    <row r="50" ht="14" customHeight="1">
      <c r="A50" t="inlineStr"/>
      <c r="B50" s="14" t="inlineStr">
        <is>
          <t xml:space="preserve">      |    STT Transcription (Vosk small model): 5.82 ms</t>
        </is>
      </c>
    </row>
    <row r="51" ht="14" customHeight="1">
      <c r="A51" t="inlineStr"/>
      <c r="B51" s="14" t="inlineStr">
        <is>
          <t xml:space="preserve">      v</t>
        </is>
      </c>
    </row>
    <row r="52" ht="14" customHeight="1">
      <c r="A52" t="inlineStr"/>
      <c r="B52" s="14" t="inlineStr">
        <is>
          <t xml:space="preserve">     (T1)  Text String Emitted ('take me to the lab')</t>
        </is>
      </c>
    </row>
    <row r="53" ht="14" customHeight="1">
      <c r="A53" t="inlineStr"/>
      <c r="B53" s="14" t="inlineStr">
        <is>
          <t xml:space="preserve">      |    FastPath Regex / Keyword Matcher: 0.49 ms</t>
        </is>
      </c>
    </row>
    <row r="54" ht="14" customHeight="1">
      <c r="A54" t="inlineStr"/>
      <c r="B54" s="14" t="inlineStr">
        <is>
          <t xml:space="preserve">      v</t>
        </is>
      </c>
    </row>
    <row r="55" ht="14" customHeight="1">
      <c r="A55" t="inlineStr"/>
      <c r="B55" s="14" t="inlineStr">
        <is>
          <t xml:space="preserve">     (T2)  Intent Classified: NAVIGATE_TO(target='lab')</t>
        </is>
      </c>
    </row>
    <row r="56" ht="14" customHeight="1">
      <c r="A56" t="inlineStr"/>
      <c r="B56" s="14" t="inlineStr">
        <is>
          <t xml:space="preserve">      |    SafetyGate Authorization Check: 0.02 ms</t>
        </is>
      </c>
    </row>
    <row r="57" ht="14" customHeight="1">
      <c r="A57" t="inlineStr"/>
      <c r="B57" s="14" t="inlineStr">
        <is>
          <t xml:space="preserve">      v</t>
        </is>
      </c>
    </row>
    <row r="58" ht="14" customHeight="1">
      <c r="A58" t="inlineStr"/>
      <c r="B58" s="14" t="inlineStr">
        <is>
          <t xml:space="preserve">     (T3)  SafetyGate Acceptance Verified &amp; Place Resolved</t>
        </is>
      </c>
    </row>
    <row r="59" ht="14" customHeight="1">
      <c r="A59" t="inlineStr"/>
      <c r="B59" s="14" t="inlineStr">
        <is>
          <t xml:space="preserve">      |    EventBus Priority Dispatch: 0.04 ms</t>
        </is>
      </c>
    </row>
    <row r="60" ht="14" customHeight="1">
      <c r="A60" t="inlineStr"/>
      <c r="B60" s="14" t="inlineStr">
        <is>
          <t xml:space="preserve">      v</t>
        </is>
      </c>
    </row>
    <row r="61" ht="14" customHeight="1">
      <c r="A61" t="inlineStr"/>
      <c r="B61" s="14" t="inlineStr">
        <is>
          <t xml:space="preserve">     (T4)  Event Envelope Emitted to Local Bus</t>
        </is>
      </c>
    </row>
    <row r="62" ht="14" customHeight="1">
      <c r="A62" t="inlineStr"/>
      <c r="B62" s="14" t="inlineStr">
        <is>
          <t xml:space="preserve">      |    RobotBridge Event Listener Receipt: 0.03 ms</t>
        </is>
      </c>
    </row>
    <row r="63" ht="14" customHeight="1">
      <c r="A63" t="inlineStr"/>
      <c r="B63" s="14" t="inlineStr">
        <is>
          <t xml:space="preserve">      v</t>
        </is>
      </c>
    </row>
    <row r="64" ht="14" customHeight="1">
      <c r="A64" t="inlineStr"/>
      <c r="B64" s="14" t="inlineStr">
        <is>
          <t xml:space="preserve">     (T5)  RobotBridge Command Handler Ingestion</t>
        </is>
      </c>
    </row>
    <row r="65" ht="14" customHeight="1">
      <c r="A65" t="inlineStr"/>
      <c r="B65" s="14" t="inlineStr">
        <is>
          <t xml:space="preserve">      |    ROS 2 Nav2 NavigateToPose Goal Issuance: 0.02 ms</t>
        </is>
      </c>
    </row>
    <row r="66" ht="14" customHeight="1">
      <c r="A66" t="inlineStr"/>
      <c r="B66" s="14" t="inlineStr">
        <is>
          <t xml:space="preserve">      v</t>
        </is>
      </c>
    </row>
    <row r="67" ht="14" customHeight="1">
      <c r="A67" t="inlineStr"/>
      <c r="B67" s="14" t="inlineStr">
        <is>
          <t xml:space="preserve">     (T6)  ROS 2 Action Goal Accepted by DWB Planner</t>
        </is>
      </c>
    </row>
    <row r="68" ht="14" customHeight="1">
      <c r="A68" t="inlineStr"/>
      <c r="B68" s="14" t="inlineStr">
        <is>
          <t xml:space="preserve">      |    MCU Serial Packet Transport: 0.01 ms</t>
        </is>
      </c>
    </row>
    <row r="69" ht="14" customHeight="1">
      <c r="A69" t="inlineStr"/>
      <c r="B69" s="14" t="inlineStr">
        <is>
          <t xml:space="preserve">      v</t>
        </is>
      </c>
    </row>
    <row r="70" ht="14" customHeight="1">
      <c r="A70" t="inlineStr"/>
      <c r="B70" s="14" t="inlineStr">
        <is>
          <t xml:space="preserve">     (T7)  Motor Controller MCU Registers Velocity Command</t>
        </is>
      </c>
    </row>
    <row r="71" ht="14" customHeight="1">
      <c r="A71" t="inlineStr"/>
      <c r="B71" s="14" t="inlineStr">
        <is>
          <t xml:space="preserve">      |    Electrical Inrush, Rotor Flux &amp; Rotor Torque: 27.75 ms</t>
        </is>
      </c>
    </row>
    <row r="72" ht="14" customHeight="1">
      <c r="A72" t="inlineStr"/>
      <c r="B72" s="14" t="inlineStr">
        <is>
          <t xml:space="preserve">      v</t>
        </is>
      </c>
    </row>
    <row r="73" ht="14" customHeight="1">
      <c r="A73" t="inlineStr"/>
      <c r="B73" s="14" t="inlineStr">
        <is>
          <t xml:space="preserve">     (T8)  PHYSICAL WHEEL DISPLACEMENT DETECTED (Encoders &gt; 0)</t>
        </is>
      </c>
    </row>
    <row r="74" ht="14" customHeight="1">
      <c r="A74" t="inlineStr"/>
      <c r="B74" s="14" t="inlineStr"/>
    </row>
    <row r="75" ht="14" customHeight="1">
      <c r="A75" t="inlineStr"/>
      <c r="B75" s="14">
        <f>=========================================================================</f>
        <v/>
      </c>
    </row>
    <row r="76" ht="14" customHeight="1">
      <c r="A76" t="inlineStr"/>
      <c r="B76" s="14" t="inlineStr">
        <is>
          <t>TOTAL TRUE VOICE-TO-FIRST-MOTION LATENCY (T8 - T0) = 34.18 ms (Measured)</t>
        </is>
      </c>
    </row>
    <row r="77" ht="14" customHeight="1">
      <c r="A77" t="inlineStr"/>
      <c r="B77" s="14">
        <f>=========================================================================</f>
        <v/>
      </c>
    </row>
    <row r="78" ht="16" customHeight="1"/>
    <row r="79" ht="24" customHeight="1">
      <c r="A79" s="8" t="inlineStr">
        <is>
          <t>DIAG-03   |   Real-Time Safety Interruption &amp; Hardware E-Stop Hierarchy</t>
        </is>
      </c>
    </row>
    <row r="80" ht="18" customHeight="1">
      <c r="A80" s="13" t="inlineStr">
        <is>
          <t>CAPTION: Multi-tier emergency stopping hierarchy guaranteeing absolute mechanical standstill under 100 ms.</t>
        </is>
      </c>
    </row>
    <row r="81" ht="14" customHeight="1">
      <c r="A81" t="inlineStr"/>
      <c r="B81" s="14" t="inlineStr">
        <is>
          <t>+-----------------------+</t>
        </is>
      </c>
    </row>
    <row r="82" ht="14" customHeight="1">
      <c r="A82" t="inlineStr"/>
      <c r="B82" s="14" t="inlineStr">
        <is>
          <t>|  VERBAL 'STOP' EVENT  |</t>
        </is>
      </c>
    </row>
    <row r="83" ht="14" customHeight="1">
      <c r="A83" t="inlineStr"/>
      <c r="B83" s="14" t="inlineStr">
        <is>
          <t>+-----------+-----------+</t>
        </is>
      </c>
    </row>
    <row r="84" ht="14" customHeight="1">
      <c r="A84" t="inlineStr"/>
      <c r="B84" s="14" t="inlineStr">
        <is>
          <t xml:space="preserve">            | S0 (Verbal Detection)</t>
        </is>
      </c>
    </row>
    <row r="85" ht="14" customHeight="1">
      <c r="A85" t="inlineStr"/>
      <c r="B85" s="14" t="inlineStr">
        <is>
          <t xml:space="preserve">            v</t>
        </is>
      </c>
    </row>
    <row r="86" ht="14" customHeight="1">
      <c r="A86" t="inlineStr"/>
      <c r="B86" s="14" t="inlineStr">
        <is>
          <t>+-----------------------+  S1 (Intent Output: 2.10 ms)</t>
        </is>
      </c>
    </row>
    <row r="87" ht="14" customHeight="1">
      <c r="A87" t="inlineStr"/>
      <c r="B87" s="14" t="inlineStr">
        <is>
          <t>| FastPath STOP Intent  |</t>
        </is>
      </c>
    </row>
    <row r="88" ht="14" customHeight="1">
      <c r="A88" t="inlineStr"/>
      <c r="B88" s="14" t="inlineStr">
        <is>
          <t>+-----------+-----------+</t>
        </is>
      </c>
    </row>
    <row r="89" ht="14" customHeight="1">
      <c r="A89" t="inlineStr"/>
      <c r="B89" s="14" t="inlineStr">
        <is>
          <t xml:space="preserve">            | S2 (SafetyGate Immediate Latch: 0.01 ms)</t>
        </is>
      </c>
    </row>
    <row r="90" ht="14" customHeight="1">
      <c r="A90" t="inlineStr"/>
      <c r="B90" s="14" t="inlineStr">
        <is>
          <t xml:space="preserve">            v</t>
        </is>
      </c>
    </row>
    <row r="91" ht="14" customHeight="1">
      <c r="A91" t="inlineStr"/>
      <c r="B91" s="14" t="inlineStr">
        <is>
          <t>+-----------------------+  S3 (Nav2 Action Cancel: 0.02 ms)</t>
        </is>
      </c>
    </row>
    <row r="92" ht="14" customHeight="1">
      <c r="A92" t="inlineStr"/>
      <c r="B92" s="14" t="inlineStr">
        <is>
          <t>| SafetyGate Latched    |</t>
        </is>
      </c>
    </row>
    <row r="93" ht="14" customHeight="1">
      <c r="A93" t="inlineStr"/>
      <c r="B93" s="14" t="inlineStr">
        <is>
          <t>+-----------+-----------+</t>
        </is>
      </c>
    </row>
    <row r="94" ht="14" customHeight="1">
      <c r="A94" t="inlineStr"/>
      <c r="B94" s="14" t="inlineStr">
        <is>
          <t xml:space="preserve">            | S4 (Zero-Velocity Cmd Generated: 25.29 ms) ---&gt; COMMAND STOP: 27.42 ms</t>
        </is>
      </c>
    </row>
    <row r="95" ht="14" customHeight="1">
      <c r="A95" t="inlineStr"/>
      <c r="B95" s="14" t="inlineStr">
        <is>
          <t xml:space="preserve">            v</t>
        </is>
      </c>
    </row>
    <row r="96" ht="14" customHeight="1">
      <c r="A96" t="inlineStr"/>
      <c r="B96" s="14" t="inlineStr">
        <is>
          <t>+-----------------------+  S5 (MCU Frame Ingested: 0.01 ms)</t>
        </is>
      </c>
    </row>
    <row r="97" ht="14" customHeight="1">
      <c r="A97" t="inlineStr"/>
      <c r="B97" s="14" t="inlineStr">
        <is>
          <t>| Motor Controller MCU  |</t>
        </is>
      </c>
    </row>
    <row r="98" ht="14" customHeight="1">
      <c r="A98" t="inlineStr"/>
      <c r="B98" s="14" t="inlineStr">
        <is>
          <t>+-----------+-----------+</t>
        </is>
      </c>
    </row>
    <row r="99" ht="14" customHeight="1">
      <c r="A99" t="inlineStr"/>
      <c r="B99" s="14" t="inlineStr">
        <is>
          <t xml:space="preserve">            | S6 (Dynamic Electrical Braking: 66.69 ms)</t>
        </is>
      </c>
    </row>
    <row r="100" ht="14" customHeight="1">
      <c r="A100" t="inlineStr"/>
      <c r="B100" s="14" t="inlineStr">
        <is>
          <t xml:space="preserve">            v</t>
        </is>
      </c>
    </row>
    <row r="101" ht="14" customHeight="1">
      <c r="A101" t="inlineStr"/>
      <c r="B101" s="14" t="inlineStr">
        <is>
          <t>+-------------------------------------------------------+</t>
        </is>
      </c>
    </row>
    <row r="102" ht="14" customHeight="1">
      <c r="A102" t="inlineStr"/>
      <c r="B102" s="14" t="inlineStr">
        <is>
          <t>| PHYSICAL WHEEL VELOCITY REACHES ZERO (v = 0.000 m/s)  | ---&gt; TRUE PHYSICAL STOP: 94.12 ms</t>
        </is>
      </c>
    </row>
    <row r="103" ht="14" customHeight="1">
      <c r="A103" t="inlineStr"/>
      <c r="B103" s="14" t="inlineStr">
        <is>
          <t>+-------------------------------------------------------+</t>
        </is>
      </c>
    </row>
    <row r="104" ht="14" customHeight="1">
      <c r="A104" t="inlineStr"/>
      <c r="B104" s="14" t="inlineStr">
        <is>
          <t xml:space="preserve">            ^</t>
        </is>
      </c>
    </row>
    <row r="105" ht="14" customHeight="1">
      <c r="A105" t="inlineStr"/>
      <c r="B105" s="14" t="inlineStr">
        <is>
          <t xml:space="preserve">            | Active-Low Hardware Line (&lt; 5 ms Latch)</t>
        </is>
      </c>
    </row>
    <row r="106" ht="14" customHeight="1">
      <c r="A106" t="inlineStr"/>
      <c r="B106" s="14" t="inlineStr">
        <is>
          <t>+-----------+-----------+</t>
        </is>
      </c>
    </row>
    <row r="107" ht="14" customHeight="1">
      <c r="A107" t="inlineStr"/>
      <c r="B107" s="14" t="inlineStr">
        <is>
          <t>| PHYSICAL E-STOP BUTTON|</t>
        </is>
      </c>
    </row>
    <row r="108" ht="14" customHeight="1">
      <c r="A108" t="inlineStr"/>
      <c r="B108" s="14" t="inlineStr">
        <is>
          <t>+-----------------------+</t>
        </is>
      </c>
    </row>
    <row r="109" ht="16" customHeight="1"/>
    <row r="110" ht="24" customHeight="1">
      <c r="A110" s="8" t="inlineStr">
        <is>
          <t>DIAG-04   |   Process Boundary &amp; Distributed Deployment Topology</t>
        </is>
      </c>
    </row>
    <row r="111" ht="18" customHeight="1">
      <c r="A111" s="13" t="inlineStr">
        <is>
          <t>CAPTION: Separation of processes, isolation boundaries, and communication protocols across hosts.</t>
        </is>
      </c>
    </row>
    <row r="112" ht="14" customHeight="1">
      <c r="A112" t="inlineStr"/>
      <c r="B112" s="14" t="inlineStr">
        <is>
          <t>+-----------------------------------------------------------------------------------+</t>
        </is>
      </c>
    </row>
    <row r="113" ht="14" customHeight="1">
      <c r="A113" t="inlineStr"/>
      <c r="B113" s="14" t="inlineStr">
        <is>
          <t>|                        COMPUTE HOST (x86_64 / ARM64 Darwin/Linux)                 |</t>
        </is>
      </c>
    </row>
    <row r="114" ht="14" customHeight="1">
      <c r="A114" t="inlineStr"/>
      <c r="B114" s="14" t="inlineStr">
        <is>
          <t>|                                                                                   |</t>
        </is>
      </c>
    </row>
    <row r="115" ht="14" customHeight="1">
      <c r="A115" t="inlineStr"/>
      <c r="B115" s="14" t="inlineStr">
        <is>
          <t>|   +-------------------------------+     HTTP / SSE      +---------------------+   |</t>
        </is>
      </c>
    </row>
    <row r="116" ht="14" customHeight="1">
      <c r="A116" t="inlineStr"/>
      <c r="B116" s="14" t="inlineStr">
        <is>
          <t>|   |  gracemo-kernel (Rust Binary) | &lt;-----------------&gt; | graceemo_interaction|   |</t>
        </is>
      </c>
    </row>
    <row r="117" ht="14" customHeight="1">
      <c r="A117" t="inlineStr"/>
      <c r="B117" s="14" t="inlineStr">
        <is>
          <t>|   |  - Tokio Multi-thread Runtime |     Port 8000       |  - Vosk Kaldi STT   |   |</t>
        </is>
      </c>
    </row>
    <row r="118" ht="14" customHeight="1">
      <c r="A118" t="inlineStr"/>
      <c r="B118" s="14" t="inlineStr">
        <is>
          <t>|   |  - SQLite WAL Ledger DB       |                     |  - Piper Neural TTS |   |</t>
        </is>
      </c>
    </row>
    <row r="119" ht="14" customHeight="1">
      <c r="A119" t="inlineStr"/>
      <c r="B119" s="14" t="inlineStr">
        <is>
          <t>|   |  - Knowledge Graph Store      |                     |  - FastPath Engine  |   |</t>
        </is>
      </c>
    </row>
    <row r="120" ht="14" customHeight="1">
      <c r="A120" t="inlineStr"/>
      <c r="B120" s="14" t="inlineStr">
        <is>
          <t>|   +---------------+---------------+                     +----------+----------+   |</t>
        </is>
      </c>
    </row>
    <row r="121" ht="14" customHeight="1">
      <c r="A121" t="inlineStr"/>
      <c r="B121" s="14" t="inlineStr">
        <is>
          <t>|                   |                                                |              |</t>
        </is>
      </c>
    </row>
    <row r="122" ht="14" customHeight="1">
      <c r="A122" t="inlineStr"/>
      <c r="B122" s="14" t="inlineStr">
        <is>
          <t>|                   | Unix Domain Socket / IPC                       | Async Event  |</t>
        </is>
      </c>
    </row>
    <row r="123" ht="14" customHeight="1">
      <c r="A123" t="inlineStr"/>
      <c r="B123" s="14" t="inlineStr">
        <is>
          <t>|                   v                                                v              |</t>
        </is>
      </c>
    </row>
    <row r="124" ht="14" customHeight="1">
      <c r="A124" t="inlineStr"/>
      <c r="B124" s="14" t="inlineStr">
        <is>
          <t>|   +---------------------------------------------------------------------------+   |</t>
        </is>
      </c>
    </row>
    <row r="125" ht="14" customHeight="1">
      <c r="A125" t="inlineStr"/>
      <c r="B125" s="14" t="inlineStr">
        <is>
          <t>|   |                   adapters.robot-bridge.gracemo_bridge                    |   |</t>
        </is>
      </c>
    </row>
    <row r="126" ht="14" customHeight="1">
      <c r="A126" t="inlineStr"/>
      <c r="B126" s="14" t="inlineStr">
        <is>
          <t>|   |  - MissionLifecycleManager    - PreflightValidator    - SafetyGate        |   |</t>
        </is>
      </c>
    </row>
    <row r="127" ht="14" customHeight="1">
      <c r="A127" t="inlineStr"/>
      <c r="B127" s="14" t="inlineStr">
        <is>
          <t>|   |  - TelemetrySurface           - PhysicalLatencyClock  - CampaignRunner    |   |</t>
        </is>
      </c>
    </row>
    <row r="128" ht="14" customHeight="1">
      <c r="A128" t="inlineStr"/>
      <c r="B128" s="14" t="inlineStr">
        <is>
          <t>|   +-------------------------------------+-------------------------------------+   |</t>
        </is>
      </c>
    </row>
    <row r="129" ht="14" customHeight="1">
      <c r="A129" t="inlineStr"/>
      <c r="B129" s="14" t="inlineStr">
        <is>
          <t>|                                         |                                         |</t>
        </is>
      </c>
    </row>
    <row r="130" ht="14" customHeight="1">
      <c r="A130" t="inlineStr"/>
      <c r="B130" s="14" t="inlineStr">
        <is>
          <t>+-----------------------------------------|-----------------------------------------+</t>
        </is>
      </c>
    </row>
    <row r="131" ht="14" customHeight="1">
      <c r="A131" t="inlineStr"/>
      <c r="B131" s="14" t="inlineStr">
        <is>
          <t xml:space="preserve">                                          | ROS 2 Middleware / DDS Cyclone</t>
        </is>
      </c>
    </row>
    <row r="132" ht="14" customHeight="1">
      <c r="A132" t="inlineStr"/>
      <c r="B132" s="14" t="inlineStr">
        <is>
          <t xml:space="preserve">                                          v</t>
        </is>
      </c>
    </row>
    <row r="133" ht="14" customHeight="1">
      <c r="A133" t="inlineStr"/>
      <c r="B133" s="14" t="inlineStr">
        <is>
          <t>+-----------------------------------------------------------------------------------+</t>
        </is>
      </c>
    </row>
    <row r="134" ht="14" customHeight="1">
      <c r="A134" t="inlineStr"/>
      <c r="B134" s="14" t="inlineStr">
        <is>
          <t>|                          ROS 2 ENVIRONMENT (Distrobox / OS)                       |</t>
        </is>
      </c>
    </row>
    <row r="135" ht="14" customHeight="1">
      <c r="A135" t="inlineStr"/>
      <c r="B135" s="14" t="inlineStr">
        <is>
          <t>|   - gracemo_bridge/kernel_bridge (LifecycleNode)                                  |</t>
        </is>
      </c>
    </row>
    <row r="136" ht="14" customHeight="1">
      <c r="A136" t="inlineStr"/>
      <c r="B136" s="14" t="inlineStr">
        <is>
          <t>|   - Nav2 Stack (bt_navigator, controller_server, planner_server, recoveries)      |</t>
        </is>
      </c>
    </row>
    <row r="137" ht="14" customHeight="1">
      <c r="A137" t="inlineStr"/>
      <c r="B137" s="14" t="inlineStr">
        <is>
          <t>|   - robot_state_publisher (TF2 Transforms: odom -&gt; base_link -&gt; laser_frame)      |</t>
        </is>
      </c>
    </row>
    <row r="138" ht="14" customHeight="1">
      <c r="A138" t="inlineStr"/>
      <c r="B138" s="14" t="inlineStr">
        <is>
          <t>+-----------------------------------------+-----------------------------------------+</t>
        </is>
      </c>
    </row>
    <row r="139" ht="14" customHeight="1">
      <c r="A139" t="inlineStr"/>
      <c r="B139" s="14" t="inlineStr">
        <is>
          <t xml:space="preserve">                                          | 115200 Baud Serial Heartbeat (50 Hz)</t>
        </is>
      </c>
    </row>
    <row r="140" ht="14" customHeight="1">
      <c r="A140" t="inlineStr"/>
      <c r="B140" s="14" t="inlineStr">
        <is>
          <t xml:space="preserve">                                          v</t>
        </is>
      </c>
    </row>
    <row r="141" ht="14" customHeight="1">
      <c r="A141" t="inlineStr"/>
      <c r="B141" s="14" t="inlineStr">
        <is>
          <t>+-----------------------------------------------------------------------------------+</t>
        </is>
      </c>
    </row>
    <row r="142" ht="14" customHeight="1">
      <c r="A142" t="inlineStr"/>
      <c r="B142" s="14" t="inlineStr">
        <is>
          <t>|                        STM32 EMBEDDED MOTOR CONTROLLER MCU                        |</t>
        </is>
      </c>
    </row>
    <row r="143" ht="14" customHeight="1">
      <c r="A143" t="inlineStr"/>
      <c r="B143" s="14" t="inlineStr">
        <is>
          <t>|   - 300 ms Deadman Watchdog Timer       - Dual BLDC Current Loop H-Bridges        |</t>
        </is>
      </c>
    </row>
    <row r="144" ht="14" customHeight="1">
      <c r="A144" t="inlineStr"/>
      <c r="B144" s="14" t="inlineStr">
        <is>
          <t>|   - Quadrature Optical Encoder Counter  - Active-Low Hardware E-Stop Cutoff       |</t>
        </is>
      </c>
    </row>
    <row r="145" ht="14" customHeight="1">
      <c r="A145" t="inlineStr"/>
      <c r="B145" s="14" t="inlineStr">
        <is>
          <t>+-----------------------------------------------------------------------------------+</t>
        </is>
      </c>
    </row>
    <row r="146" ht="16" customHeight="1"/>
    <row r="147" ht="24" customHeight="1">
      <c r="A147" s="8" t="inlineStr">
        <is>
          <t>DIAG-05   |   Sensor Fusion &amp; Dynamic Obstacle Avoidance Flow</t>
        </is>
      </c>
    </row>
    <row r="148" ht="18" customHeight="1">
      <c r="A148" s="13" t="inlineStr">
        <is>
          <t>CAPTION: Multi-tier perception pipeline integrating 2D LiDAR planar scans and RGB-D spatial pointclouds.</t>
        </is>
      </c>
    </row>
    <row r="149" ht="14" customHeight="1">
      <c r="A149" t="inlineStr"/>
      <c r="B149" s="14" t="inlineStr">
        <is>
          <t xml:space="preserve">  RPLiDAR A2 (12 Hz)           Intel RealSense D435 (30 Hz)       Wheel Optical Encoders</t>
        </is>
      </c>
    </row>
    <row r="150" ht="14" customHeight="1">
      <c r="A150" t="inlineStr"/>
      <c r="B150" s="14" t="inlineStr">
        <is>
          <t xml:space="preserve">         |                                   |                               |</t>
        </is>
      </c>
    </row>
    <row r="151" ht="14" customHeight="1">
      <c r="A151" t="inlineStr"/>
      <c r="B151" s="14" t="inlineStr">
        <is>
          <t xml:space="preserve">         | /scan (LaserScan)                 | /camera/depth/points          | /wheel_ticks</t>
        </is>
      </c>
    </row>
    <row r="152" ht="14" customHeight="1">
      <c r="A152" t="inlineStr"/>
      <c r="B152" s="14" t="inlineStr">
        <is>
          <t xml:space="preserve">         v                                   v                               v</t>
        </is>
      </c>
    </row>
    <row r="153" ht="14" customHeight="1">
      <c r="A153" t="inlineStr"/>
      <c r="B153" s="14" t="inlineStr">
        <is>
          <t>+--------------------+              +--------------------+          +--------------------+</t>
        </is>
      </c>
    </row>
    <row r="154" ht="14" customHeight="1">
      <c r="A154" t="inlineStr"/>
      <c r="B154" s="14" t="inlineStr">
        <is>
          <t>| 2D Laser Costmap   |              | 3D Voxel Obstacle  |          | Wheel Odometry     |</t>
        </is>
      </c>
    </row>
    <row r="155" ht="14" customHeight="1">
      <c r="A155" t="inlineStr"/>
      <c r="B155" s="14" t="inlineStr">
        <is>
          <t>| Obstacle Layer     |              | Inflation Layer    |          | Velocity Estimator |</t>
        </is>
      </c>
    </row>
    <row r="156" ht="14" customHeight="1">
      <c r="A156" t="inlineStr"/>
      <c r="B156" s="14" t="inlineStr">
        <is>
          <t>+---------+----------+              +---------+----------+          +---------+----------+</t>
        </is>
      </c>
    </row>
    <row r="157" ht="14" customHeight="1">
      <c r="A157" t="inlineStr"/>
      <c r="B157" s="14" t="inlineStr">
        <is>
          <t xml:space="preserve">          |                                   |                               |</t>
        </is>
      </c>
    </row>
    <row r="158" ht="14" customHeight="1">
      <c r="A158" t="inlineStr"/>
      <c r="B158" s="14" t="inlineStr">
        <is>
          <t xml:space="preserve">          +-----------------+                 |                               |</t>
        </is>
      </c>
    </row>
    <row r="159" ht="14" customHeight="1">
      <c r="A159" t="inlineStr"/>
      <c r="B159" s="14" t="inlineStr">
        <is>
          <t xml:space="preserve">                            |                 |                               |</t>
        </is>
      </c>
    </row>
    <row r="160" ht="14" customHeight="1">
      <c r="A160" t="inlineStr"/>
      <c r="B160" s="14" t="inlineStr">
        <is>
          <t xml:space="preserve">                            v                 v                               v</t>
        </is>
      </c>
    </row>
    <row r="161" ht="14" customHeight="1">
      <c r="A161" t="inlineStr"/>
      <c r="B161" s="14" t="inlineStr">
        <is>
          <t xml:space="preserve">                  +-------------------------------------+           +--------------------+</t>
        </is>
      </c>
    </row>
    <row r="162" ht="14" customHeight="1">
      <c r="A162" t="inlineStr"/>
      <c r="B162" s="14" t="inlineStr">
        <is>
          <t xml:space="preserve">                  |      Nav2 Global &amp; Local Costmaps   | &lt;-------- | Extended Kalman    |</t>
        </is>
      </c>
    </row>
    <row r="163" ht="14" customHeight="1">
      <c r="A163" t="inlineStr"/>
      <c r="B163" s="14" t="inlineStr">
        <is>
          <t xml:space="preserve">                  |  (Inflation: 0.25m Safety Buffer)   |           | Filter (robot_loc) |</t>
        </is>
      </c>
    </row>
    <row r="164" ht="14" customHeight="1">
      <c r="A164" t="inlineStr"/>
      <c r="B164" s="14" t="inlineStr">
        <is>
          <t xml:space="preserve">                  +------------------+------------------+           +--------------------+</t>
        </is>
      </c>
    </row>
    <row r="165" ht="14" customHeight="1">
      <c r="A165" t="inlineStr"/>
      <c r="B165" s="14" t="inlineStr">
        <is>
          <t xml:space="preserve">                                     |</t>
        </is>
      </c>
    </row>
    <row r="166" ht="14" customHeight="1">
      <c r="A166" t="inlineStr"/>
      <c r="B166" s="14" t="inlineStr">
        <is>
          <t xml:space="preserve">                                     | Trajectory Validity Evaluation</t>
        </is>
      </c>
    </row>
    <row r="167" ht="14" customHeight="1">
      <c r="A167" t="inlineStr"/>
      <c r="B167" s="14" t="inlineStr">
        <is>
          <t xml:space="preserve">                                     v</t>
        </is>
      </c>
    </row>
    <row r="168" ht="14" customHeight="1">
      <c r="A168" t="inlineStr"/>
      <c r="B168" s="14" t="inlineStr">
        <is>
          <t xml:space="preserve">                  +-------------------------------------+</t>
        </is>
      </c>
    </row>
    <row r="169" ht="14" customHeight="1">
      <c r="A169" t="inlineStr"/>
      <c r="B169" s="14" t="inlineStr">
        <is>
          <t xml:space="preserve">                  |  DWB Local Trajectory Critic Server |</t>
        </is>
      </c>
    </row>
    <row r="170" ht="14" customHeight="1">
      <c r="A170" t="inlineStr"/>
      <c r="B170" s="14" t="inlineStr">
        <is>
          <t xml:space="preserve">                  |   - Obstacle Footprint Scoring      |</t>
        </is>
      </c>
    </row>
    <row r="171" ht="14" customHeight="1">
      <c r="A171" t="inlineStr"/>
      <c r="B171" s="14" t="inlineStr">
        <is>
          <t xml:space="preserve">                  |   - Path Alignment &amp; Goal Distance  |</t>
        </is>
      </c>
    </row>
    <row r="172" ht="14" customHeight="1">
      <c r="A172" t="inlineStr"/>
      <c r="B172" s="14" t="inlineStr">
        <is>
          <t xml:space="preserve">                  +------------------+------------------+</t>
        </is>
      </c>
    </row>
    <row r="173" ht="14" customHeight="1">
      <c r="A173" t="inlineStr"/>
      <c r="B173" s="14" t="inlineStr">
        <is>
          <t xml:space="preserve">                                     |</t>
        </is>
      </c>
    </row>
    <row r="174" ht="14" customHeight="1">
      <c r="A174" t="inlineStr"/>
      <c r="B174" s="14" t="inlineStr">
        <is>
          <t xml:space="preserve">                      [Is clearance distance &lt; 0.80m?]</t>
        </is>
      </c>
    </row>
    <row r="175" ht="14" customHeight="1">
      <c r="A175" t="inlineStr"/>
      <c r="B175" s="14" t="inlineStr">
        <is>
          <t xml:space="preserve">                                     |</t>
        </is>
      </c>
    </row>
    <row r="176" ht="14" customHeight="1">
      <c r="A176" t="inlineStr"/>
      <c r="B176" s="14" t="inlineStr">
        <is>
          <t xml:space="preserve">                        YES ─────────┴───────── NO</t>
        </is>
      </c>
    </row>
    <row r="177" ht="14" customHeight="1">
      <c r="A177" t="inlineStr"/>
      <c r="B177" s="14" t="inlineStr">
        <is>
          <t xml:space="preserve">                         │                       │</t>
        </is>
      </c>
    </row>
    <row r="178" ht="14" customHeight="1">
      <c r="A178" t="inlineStr"/>
      <c r="B178" s="14" t="inlineStr">
        <is>
          <t xml:space="preserve">                         ▼                       ▼</t>
        </is>
      </c>
    </row>
    <row r="179" ht="14" customHeight="1">
      <c r="A179" t="inlineStr"/>
      <c r="B179" s="14" t="inlineStr">
        <is>
          <t xml:space="preserve">           +---------------------------+   +---------------------------+</t>
        </is>
      </c>
    </row>
    <row r="180" ht="14" customHeight="1">
      <c r="A180" t="inlineStr"/>
      <c r="B180" s="14" t="inlineStr">
        <is>
          <t xml:space="preserve">           | Proactive Speed Scaling   |   | Full Speed Nominal Transit|</t>
        </is>
      </c>
    </row>
    <row r="181" ht="14" customHeight="1">
      <c r="A181" t="inlineStr"/>
      <c r="B181" s="14" t="inlineStr">
        <is>
          <t xml:space="preserve">           | &amp; ObstacleDetected Event  |   | (v_linear = 0.35 m/s)     |</t>
        </is>
      </c>
    </row>
    <row r="182" ht="14" customHeight="1">
      <c r="A182" t="inlineStr"/>
      <c r="B182" s="14" t="inlineStr">
        <is>
          <t xml:space="preserve">           +---------------------------+   +---------------------------+</t>
        </is>
      </c>
    </row>
    <row r="183" ht="16" customHeight="1"/>
    <row r="184" ht="24" customHeight="1">
      <c r="A184" s="8" t="inlineStr">
        <is>
          <t>DIAG-06   |   Pre-Flight Gating &amp; Mission Lifecycle State Transitions</t>
        </is>
      </c>
    </row>
    <row r="185" ht="18" customHeight="1">
      <c r="A185" s="13" t="inlineStr">
        <is>
          <t>CAPTION: State machine governing physical motion authorization and fault isolation.</t>
        </is>
      </c>
    </row>
    <row r="186" ht="14" customHeight="1">
      <c r="A186" t="inlineStr"/>
      <c r="B186" s="14" t="inlineStr">
        <is>
          <t xml:space="preserve">       +-------------------+</t>
        </is>
      </c>
    </row>
    <row r="187" ht="14" customHeight="1">
      <c r="A187" t="inlineStr"/>
      <c r="B187" s="14" t="inlineStr">
        <is>
          <t xml:space="preserve">       |     POWER ON      |</t>
        </is>
      </c>
    </row>
    <row r="188" ht="14" customHeight="1">
      <c r="A188" t="inlineStr"/>
      <c r="B188" s="14" t="inlineStr">
        <is>
          <t xml:space="preserve">       +---------+---------+</t>
        </is>
      </c>
    </row>
    <row r="189" ht="14" customHeight="1">
      <c r="A189" t="inlineStr"/>
      <c r="B189" s="14" t="inlineStr">
        <is>
          <t xml:space="preserve">                 |</t>
        </is>
      </c>
    </row>
    <row r="190" ht="14" customHeight="1">
      <c r="A190" t="inlineStr"/>
      <c r="B190" s="14" t="inlineStr">
        <is>
          <t xml:space="preserve">                 v</t>
        </is>
      </c>
    </row>
    <row r="191" ht="14" customHeight="1">
      <c r="A191" t="inlineStr"/>
      <c r="B191" s="14" t="inlineStr">
        <is>
          <t xml:space="preserve">       +-------------------+</t>
        </is>
      </c>
    </row>
    <row r="192" ht="14" customHeight="1">
      <c r="A192" t="inlineStr"/>
      <c r="B192" s="14" t="inlineStr">
        <is>
          <t xml:space="preserve">       |     SAFE_IDLE     | &lt;------------------------------------------+</t>
        </is>
      </c>
    </row>
    <row r="193" ht="14" customHeight="1">
      <c r="A193" t="inlineStr"/>
      <c r="B193" s="14" t="inlineStr">
        <is>
          <t xml:space="preserve">       +---------+---------+                                            |</t>
        </is>
      </c>
    </row>
    <row r="194" ht="14" customHeight="1">
      <c r="A194" t="inlineStr"/>
      <c r="B194" s="14" t="inlineStr">
        <is>
          <t xml:space="preserve">                 |                                                      |</t>
        </is>
      </c>
    </row>
    <row r="195" ht="14" customHeight="1">
      <c r="A195" t="inlineStr"/>
      <c r="B195" s="14" t="inlineStr">
        <is>
          <t xml:space="preserve">                 | Execute Preflight Diagnostics (8 Critical Checks)    |</t>
        </is>
      </c>
    </row>
    <row r="196" ht="14" customHeight="1">
      <c r="A196" t="inlineStr"/>
      <c r="B196" s="14" t="inlineStr">
        <is>
          <t xml:space="preserve">                 v                                                      |</t>
        </is>
      </c>
    </row>
    <row r="197" ht="14" customHeight="1">
      <c r="A197" t="inlineStr"/>
      <c r="B197" s="14" t="inlineStr">
        <is>
          <t xml:space="preserve">         [Preflight Passed?]                                            |</t>
        </is>
      </c>
    </row>
    <row r="198" ht="14" customHeight="1">
      <c r="A198" t="inlineStr"/>
      <c r="B198" s="14" t="inlineStr">
        <is>
          <t xml:space="preserve">            │           │                                               |</t>
        </is>
      </c>
    </row>
    <row r="199" ht="14" customHeight="1">
      <c r="A199" t="inlineStr"/>
      <c r="B199" s="14" t="inlineStr">
        <is>
          <t xml:space="preserve">           YES          NO ───► Latch in SAFE_IDLE                      |</t>
        </is>
      </c>
    </row>
    <row r="200" ht="14" customHeight="1">
      <c r="A200" t="inlineStr"/>
      <c r="B200" s="14" t="inlineStr">
        <is>
          <t xml:space="preserve">            │                                                           |</t>
        </is>
      </c>
    </row>
    <row r="201" ht="14" customHeight="1">
      <c r="A201" t="inlineStr"/>
      <c r="B201" s="14" t="inlineStr">
        <is>
          <t xml:space="preserve">            v                                                           |</t>
        </is>
      </c>
    </row>
    <row r="202" ht="14" customHeight="1">
      <c r="A202" t="inlineStr"/>
      <c r="B202" s="14" t="inlineStr">
        <is>
          <t xml:space="preserve">       +-------------------+                                            |</t>
        </is>
      </c>
    </row>
    <row r="203" ht="14" customHeight="1">
      <c r="A203" t="inlineStr"/>
      <c r="B203" s="14" t="inlineStr">
        <is>
          <t xml:space="preserve">       |   SYSTEM_READY    |                                            |</t>
        </is>
      </c>
    </row>
    <row r="204" ht="14" customHeight="1">
      <c r="A204" t="inlineStr"/>
      <c r="B204" s="14" t="inlineStr">
        <is>
          <t xml:space="preserve">       +---------+---------+                                            |</t>
        </is>
      </c>
    </row>
    <row r="205" ht="14" customHeight="1">
      <c r="A205" t="inlineStr"/>
      <c r="B205" s="14" t="inlineStr">
        <is>
          <t xml:space="preserve">                 |                                                      |</t>
        </is>
      </c>
    </row>
    <row r="206" ht="14" customHeight="1">
      <c r="A206" t="inlineStr"/>
      <c r="B206" s="14" t="inlineStr">
        <is>
          <t xml:space="preserve">                 | Operator Authenticated Token Provided                |</t>
        </is>
      </c>
    </row>
    <row r="207" ht="14" customHeight="1">
      <c r="A207" t="inlineStr"/>
      <c r="B207" s="14" t="inlineStr">
        <is>
          <t xml:space="preserve">                 v                                                      |</t>
        </is>
      </c>
    </row>
    <row r="208" ht="14" customHeight="1">
      <c r="A208" t="inlineStr"/>
      <c r="B208" s="14" t="inlineStr">
        <is>
          <t xml:space="preserve">       +-------------------+                                            |</t>
        </is>
      </c>
    </row>
    <row r="209" ht="14" customHeight="1">
      <c r="A209" t="inlineStr"/>
      <c r="B209" s="14" t="inlineStr">
        <is>
          <t xml:space="preserve">       | MOTION_AUTHORIZED |                                            |</t>
        </is>
      </c>
    </row>
    <row r="210" ht="14" customHeight="1">
      <c r="A210" t="inlineStr"/>
      <c r="B210" s="14" t="inlineStr">
        <is>
          <t xml:space="preserve">       +---------+---------+                                            |</t>
        </is>
      </c>
    </row>
    <row r="211" ht="14" customHeight="1">
      <c r="A211" t="inlineStr"/>
      <c r="B211" s="14" t="inlineStr">
        <is>
          <t xml:space="preserve">                 |                                                      |</t>
        </is>
      </c>
    </row>
    <row r="212" ht="14" customHeight="1">
      <c r="A212" t="inlineStr"/>
      <c r="B212" s="14" t="inlineStr">
        <is>
          <t xml:space="preserve">                 | Dispatch Mission Goal ('lab_a')                      |</t>
        </is>
      </c>
    </row>
    <row r="213" ht="14" customHeight="1">
      <c r="A213" t="inlineStr"/>
      <c r="B213" s="14" t="inlineStr">
        <is>
          <t xml:space="preserve">                 v                                                      |</t>
        </is>
      </c>
    </row>
    <row r="214" ht="14" customHeight="1">
      <c r="A214" t="inlineStr"/>
      <c r="B214" s="14" t="inlineStr">
        <is>
          <t xml:space="preserve">       +-------------------+                                            |</t>
        </is>
      </c>
    </row>
    <row r="215" ht="14" customHeight="1">
      <c r="A215" t="inlineStr"/>
      <c r="B215" s="14" t="inlineStr">
        <is>
          <t xml:space="preserve">       |  MISSION_RUNNING  | ───► [Fault / Packet Drop] ──► SAFE_STOP ──+</t>
        </is>
      </c>
    </row>
    <row r="216" ht="14" customHeight="1">
      <c r="A216" t="inlineStr"/>
      <c r="B216" s="14" t="inlineStr">
        <is>
          <t xml:space="preserve">       +---------+---------+                                            |</t>
        </is>
      </c>
    </row>
    <row r="217" ht="14" customHeight="1">
      <c r="A217" t="inlineStr"/>
      <c r="B217" s="14" t="inlineStr">
        <is>
          <t xml:space="preserve">                 |                                                      |</t>
        </is>
      </c>
    </row>
    <row r="218" ht="14" customHeight="1">
      <c r="A218" t="inlineStr"/>
      <c r="B218" s="14" t="inlineStr">
        <is>
          <t xml:space="preserve">                 | Verbal STOP / Physical E-Stop Button                 |</t>
        </is>
      </c>
    </row>
    <row r="219" ht="14" customHeight="1">
      <c r="A219" t="inlineStr"/>
      <c r="B219" s="14" t="inlineStr">
        <is>
          <t xml:space="preserve">                 v                                                      |</t>
        </is>
      </c>
    </row>
    <row r="220" ht="14" customHeight="1">
      <c r="A220" t="inlineStr"/>
      <c r="B220" s="14" t="inlineStr">
        <is>
          <t xml:space="preserve">       +-------------------+                                            |</t>
        </is>
      </c>
    </row>
    <row r="221" ht="14" customHeight="1">
      <c r="A221" t="inlineStr"/>
      <c r="B221" s="14" t="inlineStr">
        <is>
          <t xml:space="preserve">       |  EMERGENCY_STOP   |                                            |</t>
        </is>
      </c>
    </row>
    <row r="222" ht="14" customHeight="1">
      <c r="A222" t="inlineStr"/>
      <c r="B222" s="14" t="inlineStr">
        <is>
          <t xml:space="preserve">       | (Zero Auto-Resume)| ───► Operator Manual Knob Reset + Clear ───+</t>
        </is>
      </c>
    </row>
    <row r="223" ht="14" customHeight="1">
      <c r="A223" t="inlineStr"/>
      <c r="B223" s="14" t="inlineStr">
        <is>
          <t xml:space="preserve">       +-------------------+</t>
        </is>
      </c>
    </row>
    <row r="224" ht="16" customHeight="1"/>
  </sheetData>
  <mergeCells count="14">
    <mergeCell ref="A4:B4"/>
    <mergeCell ref="A147:B147"/>
    <mergeCell ref="A148:B148"/>
    <mergeCell ref="A1:C1"/>
    <mergeCell ref="A184:B184"/>
    <mergeCell ref="A45:B45"/>
    <mergeCell ref="A5:B5"/>
    <mergeCell ref="A46:B46"/>
    <mergeCell ref="A111:B111"/>
    <mergeCell ref="A185:B185"/>
    <mergeCell ref="A80:B80"/>
    <mergeCell ref="A110:B110"/>
    <mergeCell ref="A79:B79"/>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0"/>
  <sheetViews>
    <sheetView showGridLines="1" workbookViewId="0">
      <pane ySplit="4" topLeftCell="A5" activePane="bottomLeft" state="frozen"/>
      <selection pane="bottomLeft" activeCell="A1" sqref="A1"/>
    </sheetView>
  </sheetViews>
  <sheetFormatPr baseColWidth="8" defaultRowHeight="15"/>
  <cols>
    <col width="14" customWidth="1" min="1" max="1"/>
    <col width="28" customWidth="1" min="2" max="2"/>
    <col width="63" customWidth="1" min="3" max="3"/>
    <col width="25" customWidth="1" min="4" max="4"/>
    <col width="75" customWidth="1" min="5" max="5"/>
    <col width="74" customWidth="1" min="6" max="6"/>
    <col width="74" customWidth="1" min="7" max="7"/>
    <col width="62" customWidth="1" min="8" max="8"/>
    <col width="75" customWidth="1" min="9" max="9"/>
    <col width="75" customWidth="1" min="10" max="10"/>
    <col width="22" customWidth="1" min="11" max="11"/>
  </cols>
  <sheetData>
    <row r="1" ht="30" customHeight="1">
      <c r="A1" s="1" t="inlineStr">
        <is>
          <t>GRaCEmo ViRa — Complete Code Module Deep-Dive Inventory</t>
        </is>
      </c>
    </row>
    <row r="2" ht="18" customHeight="1">
      <c r="A2" s="2" t="inlineStr">
        <is>
          <t>Comprehensive architectural registry of all major packages, services, and modules across Rust and Python workspaces.</t>
        </is>
      </c>
    </row>
    <row r="3" ht="10" customHeight="1"/>
    <row r="4" ht="26" customHeight="1">
      <c r="A4" s="3" t="inlineStr">
        <is>
          <t>Module ID</t>
        </is>
      </c>
      <c r="B4" s="3" t="inlineStr">
        <is>
          <t>Subsystem / Layer</t>
        </is>
      </c>
      <c r="C4" s="3" t="inlineStr">
        <is>
          <t>Source File Path</t>
        </is>
      </c>
      <c r="D4" s="3" t="inlineStr">
        <is>
          <t>Tech Stack / Language</t>
        </is>
      </c>
      <c r="E4" s="3" t="inlineStr">
        <is>
          <t>Architectural Purpose &amp; Responsibility</t>
        </is>
      </c>
      <c r="F4" s="3" t="inlineStr">
        <is>
          <t>Key Classes, Structs &amp; Functions</t>
        </is>
      </c>
      <c r="G4" s="3" t="inlineStr">
        <is>
          <t>Inputs (APIs, Topics, Config)</t>
        </is>
      </c>
      <c r="H4" s="3" t="inlineStr">
        <is>
          <t>Outputs (APIs, Events, Files)</t>
        </is>
      </c>
      <c r="I4" s="3" t="inlineStr">
        <is>
          <t>Core Algorithm &amp; Implementation</t>
        </is>
      </c>
      <c r="J4" s="3" t="inlineStr">
        <is>
          <t>Inter-Module Relationships &amp; Failure Fallbacks</t>
        </is>
      </c>
      <c r="K4" s="3" t="inlineStr">
        <is>
          <t>Operational Status</t>
        </is>
      </c>
    </row>
    <row r="5" ht="22" customHeight="1">
      <c r="A5" s="4" t="inlineStr">
        <is>
          <t>MOD-01</t>
        </is>
      </c>
      <c r="B5" s="4" t="inlineStr">
        <is>
          <t>Kernel / Bus</t>
        </is>
      </c>
      <c r="C5" s="4" t="inlineStr">
        <is>
          <t>kernel/gracemo-kernel/src/api.rs</t>
        </is>
      </c>
      <c r="D5" s="4" t="inlineStr">
        <is>
          <t>Rust (Tokio)</t>
        </is>
      </c>
      <c r="E5" s="4" t="inlineStr">
        <is>
          <t>Core asynchronous multi-producer multi-consumer event broker.</t>
        </is>
      </c>
      <c r="F5" s="4" t="inlineStr">
        <is>
          <t>EventBus, PriorityQueue, BroadcastChannel, SubscriptionHandle</t>
        </is>
      </c>
      <c r="G5" s="4" t="inlineStr">
        <is>
          <t>ActionRequested, SensorData, InteractionEvent</t>
        </is>
      </c>
      <c r="H5" s="4" t="inlineStr">
        <is>
          <t>ActionExecuted, StateChanged, EventStream (SSE)</t>
        </is>
      </c>
      <c r="I5" s="4" t="inlineStr">
        <is>
          <t>Implements a lock-free Tokio broadcast channel partitioned by event priority (Emergency, High, Normal, Low). Events are assigned monotonically increasing 64-bit sequence IDs with microsecond precision. Drop policies guarantee emergency control packets are never dropped even under severe buffer saturation.</t>
        </is>
      </c>
      <c r="J5" s="4" t="inlineStr">
        <is>
          <t>Upstream consumer of adapter events; downstream provider to bridge and ledger. Reverts to local priority queue if network serialization drops.</t>
        </is>
      </c>
      <c r="K5" s="5" t="inlineStr">
        <is>
          <t>Production Active</t>
        </is>
      </c>
    </row>
    <row r="6" ht="22" customHeight="1">
      <c r="A6" s="6" t="inlineStr">
        <is>
          <t>MOD-02</t>
        </is>
      </c>
      <c r="B6" s="6" t="inlineStr">
        <is>
          <t>Kernel / Ledger</t>
        </is>
      </c>
      <c r="C6" s="6" t="inlineStr">
        <is>
          <t>kernel/gracemo-kernel/src/ledger.rs</t>
        </is>
      </c>
      <c r="D6" s="6" t="inlineStr">
        <is>
          <t>Rust (Rusqlite)</t>
        </is>
      </c>
      <c r="E6" s="6" t="inlineStr">
        <is>
          <t>Append-only immutable causal event ledger and persistent audit log.</t>
        </is>
      </c>
      <c r="F6" s="6" t="inlineStr">
        <is>
          <t>EventLedger, LedgerRecord, CausalChain, SQLiteStorage</t>
        </is>
      </c>
      <c r="G6" s="6" t="inlineStr">
        <is>
          <t>Any validated EventEnvelope emitted on the EventBus</t>
        </is>
      </c>
      <c r="H6" s="6" t="inlineStr">
        <is>
          <t>Persisted SQLite records in gracemo_ledger.db</t>
        </is>
      </c>
      <c r="I6" s="6" t="inlineStr">
        <is>
          <t>Persists structured JSON event envelopes into SQLite operating in Write-Ahead-Logging (WAL) mode. Every entry records trace_id, parent_id, timestamp, and event payload hash. Provides cryptographic chain verification to audit exact sequences leading to hardware or safety interruptions.</t>
        </is>
      </c>
      <c r="J6" s="6" t="inlineStr">
        <is>
          <t>Stores history for context compilers and compliance auditor. If SQLite write locks, buffers up to 10,000 events in memory before graceful degraded shutdown.</t>
        </is>
      </c>
      <c r="K6" s="5" t="inlineStr">
        <is>
          <t>Production Active</t>
        </is>
      </c>
    </row>
    <row r="7" ht="22" customHeight="1">
      <c r="A7" s="4" t="inlineStr">
        <is>
          <t>MOD-03</t>
        </is>
      </c>
      <c r="B7" s="4" t="inlineStr">
        <is>
          <t>Kernel / Graph</t>
        </is>
      </c>
      <c r="C7" s="4" t="inlineStr">
        <is>
          <t>kernel/gracemo-kernel/src/graph.rs</t>
        </is>
      </c>
      <c r="D7" s="4" t="inlineStr">
        <is>
          <t>Rust (Rusqlite)</t>
        </is>
      </c>
      <c r="E7" s="4" t="inlineStr">
        <is>
          <t>Spatial and relational knowledge graph representing environment entities.</t>
        </is>
      </c>
      <c r="F7" s="4" t="inlineStr">
        <is>
          <t>KnowledgeGraph, EntityNode, RelationEdge, SpatialQueryEngine</t>
        </is>
      </c>
      <c r="G7" s="4" t="inlineStr">
        <is>
          <t>Spatial detections, place mappings, entity updates</t>
        </is>
      </c>
      <c r="H7" s="4" t="inlineStr">
        <is>
          <t>Entity states, semantic proximity queries, room relations</t>
        </is>
      </c>
      <c r="I7" s="4" t="inlineStr">
        <is>
          <t>Maintains a relational knowledge graph of physical rooms, furniture landmarks, people, and detected objects. Supports spatial bounding box containment and graph-distance trajectory queries. Enables the robot to answer questions such as 'Where is the charger relative to the desk?'</t>
        </is>
      </c>
      <c r="J7" s="4" t="inlineStr">
        <is>
          <t>Supplies spatial groundings to the high-level brain adapter. Falls back to static places.json if relational database is uninitialized.</t>
        </is>
      </c>
      <c r="K7" s="5" t="inlineStr">
        <is>
          <t>Production Active</t>
        </is>
      </c>
    </row>
    <row r="8" ht="22" customHeight="1">
      <c r="A8" s="6" t="inlineStr">
        <is>
          <t>MOD-04</t>
        </is>
      </c>
      <c r="B8" s="6" t="inlineStr">
        <is>
          <t>Robot Bridge / Core</t>
        </is>
      </c>
      <c r="C8" s="6" t="inlineStr">
        <is>
          <t>adapters/robot-bridge/gracemo_bridge/bridge.py</t>
        </is>
      </c>
      <c r="D8" s="6" t="inlineStr">
        <is>
          <t>Python 3.11</t>
        </is>
      </c>
      <c r="E8" s="6" t="inlineStr">
        <is>
          <t>Central cyber-physical bridge between EventBus and ROS 2 middleware.</t>
        </is>
      </c>
      <c r="F8" s="6" t="inlineStr">
        <is>
          <t>RobotBridge, BridgeConfig, BridgeLifecycleState</t>
        </is>
      </c>
      <c r="G8" s="6" t="inlineStr">
        <is>
          <t>EventBus ActionRequested events, ROS 2 /odom, /scan topics</t>
        </is>
      </c>
      <c r="H8" s="6" t="inlineStr">
        <is>
          <t>ROS 2 Nav2 goal actions, EventBus feedback events</t>
        </is>
      </c>
      <c r="I8" s="6" t="inlineStr">
        <is>
          <t>Translates semantic event commands into Nav2 action client invocations. Coordinates bi-directional communication between the high-level asynchronous Python runtime and low-level ROS 2 executor threads. Enforces deterministic error isolation preventing ROS 2 client panics from crashing kernel services.</t>
        </is>
      </c>
      <c r="J8" s="6" t="inlineStr">
        <is>
          <t>Directly interfaces with SafetyGate and PreflightValidator. If ROS 2 daemon dies, issues an immediate SAFE_IDLE transition.</t>
        </is>
      </c>
      <c r="K8" s="5" t="inlineStr">
        <is>
          <t>Production Active</t>
        </is>
      </c>
    </row>
    <row r="9" ht="22" customHeight="1">
      <c r="A9" s="4" t="inlineStr">
        <is>
          <t>MOD-05</t>
        </is>
      </c>
      <c r="B9" s="4" t="inlineStr">
        <is>
          <t>Robot Bridge / Safety</t>
        </is>
      </c>
      <c r="C9" s="4" t="inlineStr">
        <is>
          <t>adapters/robot-bridge/gracemo_bridge/safety_adapter.py</t>
        </is>
      </c>
      <c r="D9" s="4" t="inlineStr">
        <is>
          <t>Python 3.11</t>
        </is>
      </c>
      <c r="E9" s="4" t="inlineStr">
        <is>
          <t>Deterministic semantic safety filter, velocity limiter, and E-stop latch.</t>
        </is>
      </c>
      <c r="F9" s="4" t="inlineStr">
        <is>
          <t>SafetyGate, VelocityConstraint, SafetyTripReason, GeofencePolicy</t>
        </is>
      </c>
      <c r="G9" s="4" t="inlineStr">
        <is>
          <t>Proposed velocity commands, target coordinates, operator tokens</t>
        </is>
      </c>
      <c r="H9" s="4" t="inlineStr">
        <is>
          <t>Sanitized cmd_vel, authorization flags, safety latch state</t>
        </is>
      </c>
      <c r="I9" s="4" t="inlineStr">
        <is>
          <t>Validates every action against hard physical constraints: linear velocity &lt;= 0.35 m/s, angular velocity &lt;= 0.60 rad/s. Computes polygon containment against campus geofences to prevent stairwell or road entry. Latches permanently into EMERGENCY_STOP upon bumper trip, voice stop, or operator intervention.</t>
        </is>
      </c>
      <c r="J9" s="4" t="inlineStr">
        <is>
          <t>Acts as strict gatekeeper before RobotBridge passes goals to Nav2. Zero auto-resume permitted; requires manual reset.</t>
        </is>
      </c>
      <c r="K9" s="5" t="inlineStr">
        <is>
          <t>Production Active</t>
        </is>
      </c>
    </row>
    <row r="10" ht="22" customHeight="1">
      <c r="A10" s="6" t="inlineStr">
        <is>
          <t>MOD-06</t>
        </is>
      </c>
      <c r="B10" s="6" t="inlineStr">
        <is>
          <t>Robot Bridge / Lifecycle</t>
        </is>
      </c>
      <c r="C10" s="6" t="inlineStr">
        <is>
          <t>adapters/robot-bridge/gracemo_bridge/mission_lifecycle.py</t>
        </is>
      </c>
      <c r="D10" s="6" t="inlineStr">
        <is>
          <t>Python 3.11</t>
        </is>
      </c>
      <c r="E10" s="6" t="inlineStr">
        <is>
          <t>Manages two-stage motion authorization and autonomous mission lifecycles.</t>
        </is>
      </c>
      <c r="F10" s="6" t="inlineStr">
        <is>
          <t>MissionLifecycleManager, MissionInfo, MissionStatus, OperatorToken</t>
        </is>
      </c>
      <c r="G10" s="6" t="inlineStr">
        <is>
          <t>Pre-flight status, operator authorization calls, start_mission requests</t>
        </is>
      </c>
      <c r="H10" s="6" t="inlineStr">
        <is>
          <t>MissionStatus events, audit records, authorization state</t>
        </is>
      </c>
      <c r="I10" s="6" t="inlineStr">
        <is>
          <t>Strictly enforces separation between SYSTEM_READY and MOTION_AUTHORIZED. A robot passing all pre-flight checks cannot move until an authenticated human operator grants an explicit token. Manages full mission lifecycle: CREATED -&gt; AUTHORIZED -&gt; RUNNING -&gt; COMPLETED/FAILED.</t>
        </is>
      </c>
      <c r="J10" s="6" t="inlineStr">
        <is>
          <t>Coordinates with PreflightValidator and SafetyGate. If authorization is revoked mid-transit, triggers dynamic regenerative braking.</t>
        </is>
      </c>
      <c r="K10" s="5" t="inlineStr">
        <is>
          <t>Production Active</t>
        </is>
      </c>
    </row>
    <row r="11" ht="22" customHeight="1">
      <c r="A11" s="4" t="inlineStr">
        <is>
          <t>MOD-07</t>
        </is>
      </c>
      <c r="B11" s="4" t="inlineStr">
        <is>
          <t>Robot Bridge / Preflight</t>
        </is>
      </c>
      <c r="C11" s="4" t="inlineStr">
        <is>
          <t>adapters/robot-bridge/gracemo_bridge/preflight.py</t>
        </is>
      </c>
      <c r="D11" s="4" t="inlineStr">
        <is>
          <t>Python 3.11</t>
        </is>
      </c>
      <c r="E11" s="4" t="inlineStr">
        <is>
          <t>Pre-mission diagnostic engine verifying hardware readiness.</t>
        </is>
      </c>
      <c r="F11" s="4" t="inlineStr">
        <is>
          <t>PreflightValidator, PreflightResult, DiagnosticCheck</t>
        </is>
      </c>
      <c r="G11" s="4" t="inlineStr">
        <is>
          <t>Sensor telemetry, battery voltage, E-stop status, ROS node states</t>
        </is>
      </c>
      <c r="H11" s="4" t="inlineStr">
        <is>
          <t>PreflightResult summary, boolean system_ready flag</t>
        </is>
      </c>
      <c r="I11" s="4" t="inlineStr">
        <is>
          <t>Executes 8 non-bypassable pre-flight diagnostic checks: battery voltage &gt; 10.8V, hardware E-stop circuit closed, motor link active, LiDAR streaming at &gt;=8Hz, IMU biases within limits, odometry covariance nominal, EventBus queues responsive, and bridge active. Any critical failure aborts mission start.</t>
        </is>
      </c>
      <c r="J11" s="4" t="inlineStr">
        <is>
          <t>Mandatory prerequisite before MissionLifecycleManager allows motion authorization. Inverts state to SAFE_IDLE on failure.</t>
        </is>
      </c>
      <c r="K11" s="5" t="inlineStr">
        <is>
          <t>Production Active</t>
        </is>
      </c>
    </row>
    <row r="12" ht="22" customHeight="1">
      <c r="A12" s="6" t="inlineStr">
        <is>
          <t>MOD-08</t>
        </is>
      </c>
      <c r="B12" s="6" t="inlineStr">
        <is>
          <t>Robot Bridge / Hardware</t>
        </is>
      </c>
      <c r="C12" s="6" t="inlineStr">
        <is>
          <t>adapters/robot-bridge/gracemo_bridge/hardware_adapter.py</t>
        </is>
      </c>
      <c r="D12" s="6" t="inlineStr">
        <is>
          <t>Python 3.11</t>
        </is>
      </c>
      <c r="E12" s="6" t="inlineStr">
        <is>
          <t>Low-level driver adapter interfacing physical serial motor controller.</t>
        </is>
      </c>
      <c r="F12" s="6" t="inlineStr">
        <is>
          <t>HardwareAdapter, SimulatedMotorController, TelemetryFrame</t>
        </is>
      </c>
      <c r="G12" s="6" t="inlineStr">
        <is>
          <t>Serial UART frames, encoder counts, battery ADC voltage</t>
        </is>
      </c>
      <c r="H12" s="6" t="inlineStr">
        <is>
          <t>Structured TelemetryFrame, wheel linear/angular velocity</t>
        </is>
      </c>
      <c r="I12" s="6" t="inlineStr">
        <is>
          <t>Interfaces the host computer with the STM32 motor controller over a 115200 baud serial protocol. Calculates wheel speeds from raw optical encoder quadrature pulses using unicycle kinematics. Emits periodic 50Hz heartbeat pulses to satisfy the onboard 300ms hardware watchdog.</t>
        </is>
      </c>
      <c r="J12" s="6" t="inlineStr">
        <is>
          <t>Supplies physical sensor telemetry to RobotBridge and SafetyGate. Enters fail-safe mode if serial frames drop for &gt;300ms.</t>
        </is>
      </c>
      <c r="K12" s="5" t="inlineStr">
        <is>
          <t>Production Active</t>
        </is>
      </c>
    </row>
    <row r="13" ht="22" customHeight="1">
      <c r="A13" s="4" t="inlineStr">
        <is>
          <t>MOD-09</t>
        </is>
      </c>
      <c r="B13" s="4" t="inlineStr">
        <is>
          <t>Robot Bridge / Latency</t>
        </is>
      </c>
      <c r="C13" s="4" t="inlineStr">
        <is>
          <t>adapters/robot-bridge/gracemo_bridge/physical_latency.py</t>
        </is>
      </c>
      <c r="D13" s="4" t="inlineStr">
        <is>
          <t>Python 3.11</t>
        </is>
      </c>
      <c r="E13" s="4" t="inlineStr">
        <is>
          <t>High-resolution monotonic instrumentation for cyber-physical latencies.</t>
        </is>
      </c>
      <c r="F13" s="4" t="inlineStr">
        <is>
          <t>PhysicalLatencyClock, LatencyRecord, VoiceNavTimestamps, StopTimestamps</t>
        </is>
      </c>
      <c r="G13" s="4" t="inlineStr">
        <is>
          <t>Microsecond clock ticks (T0-T8, S0-S6) across the processing pipeline</t>
        </is>
      </c>
      <c r="H13" s="4" t="inlineStr">
        <is>
          <t>Calculated latency distributions, PhysicalLatencyReport</t>
        </is>
      </c>
      <c r="I13" s="4" t="inlineStr">
        <is>
          <t>Captures monotonic microsecond timestamps (time.perf_counter) across all cyber-physical boundary crossings. Separates software command dispatch latency from true physical mechanical latency. Measures physical stopping time up to optical encoder zero-velocity confirmation.</t>
        </is>
      </c>
      <c r="J13" s="4" t="inlineStr">
        <is>
          <t>Embedded across Gateway, Bridge, and HardwareAdapter. Logs latency statistics to disk for regulatory qualification.</t>
        </is>
      </c>
      <c r="K13" s="5" t="inlineStr">
        <is>
          <t>Production Active</t>
        </is>
      </c>
    </row>
    <row r="14" ht="22" customHeight="1">
      <c r="A14" s="6" t="inlineStr">
        <is>
          <t>MOD-10</t>
        </is>
      </c>
      <c r="B14" s="6" t="inlineStr">
        <is>
          <t>Robot Bridge / Campaign</t>
        </is>
      </c>
      <c r="C14" s="6" t="inlineStr">
        <is>
          <t>adapters/robot-bridge/gracemo_bridge/campaign_runner.py</t>
        </is>
      </c>
      <c r="D14" s="6" t="inlineStr">
        <is>
          <t>Python 3.11</t>
        </is>
      </c>
      <c r="E14" s="6" t="inlineStr">
        <is>
          <t>Automated qualification campaign orchestrator for Groups A through K.</t>
        </is>
      </c>
      <c r="F14" s="6" t="inlineStr">
        <is>
          <t>CampaignRunner, CampaignStats, CampaignGroupConfig</t>
        </is>
      </c>
      <c r="G14" s="6" t="inlineStr">
        <is>
          <t>Campaign group parameters, mission lists, environmental profiles</t>
        </is>
      </c>
      <c r="H14" s="6" t="inlineStr">
        <is>
          <t>Aggregated CampaignStats, mission log JSON files</t>
        </is>
      </c>
      <c r="I14" s="6" t="inlineStr">
        <is>
          <t>Orchestrates structured multi-mission qualification campaigns across 11 functional groups. Injects controlled faults (packet drop, covariance degradation, obstacle obstruction) and tracks mission recovery rates. Classifies every operator intervention according to the 9 standard operational categories.</t>
        </is>
      </c>
      <c r="J14" s="6" t="inlineStr">
        <is>
          <t>Executes against RobotBridge and MissionLifecycleManager. Generates empirical data for release qualification.</t>
        </is>
      </c>
      <c r="K14" s="5" t="inlineStr">
        <is>
          <t>Production Active</t>
        </is>
      </c>
    </row>
    <row r="15" ht="22" customHeight="1">
      <c r="A15" s="4" t="inlineStr">
        <is>
          <t>MOD-11</t>
        </is>
      </c>
      <c r="B15" s="4" t="inlineStr">
        <is>
          <t>Interaction / Gateway</t>
        </is>
      </c>
      <c r="C15" s="4" t="inlineStr">
        <is>
          <t>graceemo_interaction/core/gateway.py</t>
        </is>
      </c>
      <c r="D15" s="4" t="inlineStr">
        <is>
          <t>Python 3.11</t>
        </is>
      </c>
      <c r="E15" s="4" t="inlineStr">
        <is>
          <t>Central entry point for voice, text, and multimodal user interactions.</t>
        </is>
      </c>
      <c r="F15" s="4" t="inlineStr">
        <is>
          <t>InteractionGateway, InteractionConfig, DialogueState</t>
        </is>
      </c>
      <c r="G15" s="4" t="inlineStr">
        <is>
          <t>Spoken audio PCM streams, text strings, cognitive state changes</t>
        </is>
      </c>
      <c r="H15" s="4" t="inlineStr">
        <is>
          <t>VoiceResponse, InteractionFeedback, ActionRequested events</t>
        </is>
      </c>
      <c r="I15" s="4" t="inlineStr">
        <is>
          <t>Orchestrates speech recognition, fast-path intent matching, brain reasoning, and voice synthesis. Evaluates whether a user query can be resolved via local deterministic fast-path or requires deep LLM reasoning. Ensures speech synthesis is immediately muted if a safety stop occurs.</t>
        </is>
      </c>
      <c r="J15" s="4" t="inlineStr">
        <is>
          <t>Interfaces STT, TTS, FastPath, BrainAdapter, and EventBus. Falls back to local offline responses if Cloud Brain is unreachable.</t>
        </is>
      </c>
      <c r="K15" s="5" t="inlineStr">
        <is>
          <t>Production Active</t>
        </is>
      </c>
    </row>
    <row r="16" ht="22" customHeight="1">
      <c r="A16" s="6" t="inlineStr">
        <is>
          <t>MOD-12</t>
        </is>
      </c>
      <c r="B16" s="6" t="inlineStr">
        <is>
          <t>Interaction / FastPath</t>
        </is>
      </c>
      <c r="C16" s="6" t="inlineStr">
        <is>
          <t>graceemo_interaction/core/fast_path.py</t>
        </is>
      </c>
      <c r="D16" s="6" t="inlineStr">
        <is>
          <t>Python 3.11</t>
        </is>
      </c>
      <c r="E16" s="6" t="inlineStr">
        <is>
          <t>Zero-latency deterministic rule and regex intent matcher.</t>
        </is>
      </c>
      <c r="F16" s="6" t="inlineStr">
        <is>
          <t>FastPathMatcher, FastPathIntent, RegexPatternRegistry</t>
        </is>
      </c>
      <c r="G16" s="6" t="inlineStr">
        <is>
          <t>Transcribed user text strings</t>
        </is>
      </c>
      <c r="H16" s="6" t="inlineStr">
        <is>
          <t>Resolved intent (STOP, GREET, STATUS, NAVIGATE_TO)</t>
        </is>
      </c>
      <c r="I16" s="6" t="inlineStr">
        <is>
          <t>Bypasses LLM inference for high-priority life-critical commands using pre-compiled regular expressions. Matches emergency tokens ('stop', 'halt', 'freeze') in under 0.5 milliseconds. Resolves navigation target place names against config/places.json without external API calls.</t>
        </is>
      </c>
      <c r="J16" s="6" t="inlineStr">
        <is>
          <t>Directly invoked by Gateway prior to any LLM invocation. Guarantees deterministic stop recognition under all circumstances.</t>
        </is>
      </c>
      <c r="K16" s="5" t="inlineStr">
        <is>
          <t>Production Active</t>
        </is>
      </c>
    </row>
    <row r="17" ht="22" customHeight="1">
      <c r="A17" s="4" t="inlineStr">
        <is>
          <t>MOD-13</t>
        </is>
      </c>
      <c r="B17" s="4" t="inlineStr">
        <is>
          <t>Interaction / STT</t>
        </is>
      </c>
      <c r="C17" s="4" t="inlineStr">
        <is>
          <t>graceemo_interaction/core/stt_adapter.py</t>
        </is>
      </c>
      <c r="D17" s="4" t="inlineStr">
        <is>
          <t>Python 3.11</t>
        </is>
      </c>
      <c r="E17" s="4" t="inlineStr">
        <is>
          <t>Offline local Speech-to-Text transcriber using Kaldi/Vosk engine.</t>
        </is>
      </c>
      <c r="F17" s="4" t="inlineStr">
        <is>
          <t>STTAdapter, VoskRecognizerWrapper, AudioBufferProcessor</t>
        </is>
      </c>
      <c r="G17" s="4" t="inlineStr">
        <is>
          <t>16kHz 16-bit mono PCM microphone audio stream</t>
        </is>
      </c>
      <c r="H17" s="4" t="inlineStr">
        <is>
          <t>Transcribed text strings with word confidence scores</t>
        </is>
      </c>
      <c r="I17" s="4" t="inlineStr">
        <is>
          <t>Processes incoming microphone audio chunks through an offline Kaldi-based Vosk neural acoustic model. Utilizes energy-based voice activity detection (VAD) with a 500ms silence timeout. Operates with zero internet connectivity and zero cloud latency.</t>
        </is>
      </c>
      <c r="J17" s="4" t="inlineStr">
        <is>
          <t>Feeds raw transcribed text to InteractionGateway. Reverts to text console input if audio hardware is absent.</t>
        </is>
      </c>
      <c r="K17" s="5" t="inlineStr">
        <is>
          <t>Production Active</t>
        </is>
      </c>
    </row>
    <row r="18" ht="22" customHeight="1">
      <c r="A18" s="6" t="inlineStr">
        <is>
          <t>MOD-14</t>
        </is>
      </c>
      <c r="B18" s="6" t="inlineStr">
        <is>
          <t>Interaction / TTS</t>
        </is>
      </c>
      <c r="C18" s="6" t="inlineStr">
        <is>
          <t>graceemo_interaction/core/tts_adapter.py</t>
        </is>
      </c>
      <c r="D18" s="6" t="inlineStr">
        <is>
          <t>Python 3.11</t>
        </is>
      </c>
      <c r="E18" s="6" t="inlineStr">
        <is>
          <t>Neural Text-to-Speech synthesis adapter using Piper ONNX engine.</t>
        </is>
      </c>
      <c r="F18" s="6" t="inlineStr">
        <is>
          <t>TTSAdapter, PiperEngineWrapper, AudioPlaybackQueue</t>
        </is>
      </c>
      <c r="G18" s="6" t="inlineStr">
        <is>
          <t>Text response strings, emotion tags</t>
        </is>
      </c>
      <c r="H18" s="6" t="inlineStr">
        <is>
          <t>Synthesized 22.05kHz PCM audio to sounddevice output stream</t>
        </is>
      </c>
      <c r="I18" s="6" t="inlineStr">
        <is>
          <t>Synthesizes natural speech using the lightweight Piper neural ONNX voice model (lessac-medium). Maintains an asynchronous playback queue with instant cancellation support. Upon safety emergency stop assertion, immediately truncates active audio buffers to free acoustic bandwidth.</t>
        </is>
      </c>
      <c r="J18" s="6" t="inlineStr">
        <is>
          <t>Consumes voice responses from InteractionGateway. Falls back to system espeak-ng if Piper ONNX weights are missing.</t>
        </is>
      </c>
      <c r="K18" s="5" t="inlineStr">
        <is>
          <t>Production Active</t>
        </is>
      </c>
    </row>
    <row r="19" ht="22" customHeight="1">
      <c r="A19" s="4" t="inlineStr">
        <is>
          <t>MOD-15</t>
        </is>
      </c>
      <c r="B19" s="4" t="inlineStr">
        <is>
          <t>Interaction / Brain</t>
        </is>
      </c>
      <c r="C19" s="4" t="inlineStr">
        <is>
          <t>graceemo_interaction/core/brain_adapter.py</t>
        </is>
      </c>
      <c r="D19" s="4" t="inlineStr">
        <is>
          <t>Python 3.11</t>
        </is>
      </c>
      <c r="E19" s="4" t="inlineStr">
        <is>
          <t>Cloud LLM reasoning adapter for open-ended dialogue and tasks.</t>
        </is>
      </c>
      <c r="F19" s="4" t="inlineStr">
        <is>
          <t>BrainAdapter, GeminiClient, ContextPromptBuilder</t>
        </is>
      </c>
      <c r="G19" s="4" t="inlineStr">
        <is>
          <t>Complex conversational queries, multi-turn history</t>
        </is>
      </c>
      <c r="H19" s="4" t="inlineStr">
        <is>
          <t>Semantic task plans, natural language explanations</t>
        </is>
      </c>
      <c r="I19" s="4" t="inlineStr">
        <is>
          <t>Connects to Google Gemini API for general conversation, college queries, and high-level reasoning. Constrains LLM outputs using structured JSON schemas preventing the model from generating direct motor commands. Injects spatial knowledge graph context into prompts for contextual awareness.</t>
        </is>
      </c>
      <c r="J19" s="4" t="inlineStr">
        <is>
          <t>Invoked by Gateway for non-fastpath queries. If internet is disconnected, seamlessly emits a graceful offline fallback.</t>
        </is>
      </c>
      <c r="K19" s="5" t="inlineStr">
        <is>
          <t>Production Active</t>
        </is>
      </c>
    </row>
    <row r="20" ht="22" customHeight="1">
      <c r="A20" s="6" t="inlineStr">
        <is>
          <t>MOD-16</t>
        </is>
      </c>
      <c r="B20" s="6" t="inlineStr">
        <is>
          <t>Interaction / Resolver</t>
        </is>
      </c>
      <c r="C20" s="6" t="inlineStr">
        <is>
          <t>graceemo_interaction/core/place_resolver.py</t>
        </is>
      </c>
      <c r="D20" s="6" t="inlineStr">
        <is>
          <t>Python 3.11</t>
        </is>
      </c>
      <c r="E20" s="6" t="inlineStr">
        <is>
          <t>Campus destination place resolver and coordinate mapper.</t>
        </is>
      </c>
      <c r="F20" s="6" t="inlineStr">
        <is>
          <t>PlaceResolver, PlaceLocation, TopologicalCampusGraph</t>
        </is>
      </c>
      <c r="G20" s="6" t="inlineStr">
        <is>
          <t>Spoken place alias strings ('lab', 'workshop', 'dock')</t>
        </is>
      </c>
      <c r="H20" s="6" t="inlineStr">
        <is>
          <t>Resolved (x, y, yaw) coordinates, room zone name</t>
        </is>
      </c>
      <c r="I20" s="6" t="inlineStr">
        <is>
          <t>Loads declarative campus topological maps from config/places.json. Implements fuzzy string matching and phonetic distance (Levenshtein) to map conversational aliases to exact 2D map waypoints. Rejects ambiguous or unknown destinations before navigation dispatch.</t>
        </is>
      </c>
      <c r="J20" s="6" t="inlineStr">
        <is>
          <t>Used by FastPath and SafetyGate. Returns None for unrecognized targets, prompting a clarifying voice question.</t>
        </is>
      </c>
      <c r="K20" s="5" t="inlineStr">
        <is>
          <t>Production Active</t>
        </is>
      </c>
    </row>
    <row r="21" ht="22" customHeight="1">
      <c r="A21" s="4" t="inlineStr">
        <is>
          <t>MOD-17</t>
        </is>
      </c>
      <c r="B21" s="4" t="inlineStr">
        <is>
          <t>ROS2 / Kernel Bridge</t>
        </is>
      </c>
      <c r="C21" s="4" t="inlineStr">
        <is>
          <t>ros2_ws/src/gracemo_bridge/gracemo_bridge/kernel_bridge.py</t>
        </is>
      </c>
      <c r="D21" s="4" t="inlineStr">
        <is>
          <t>Python 3.11 (rclpy)</t>
        </is>
      </c>
      <c r="E21" s="4" t="inlineStr">
        <is>
          <t>ROS 2 lifecycle node translating ROS topics to kernel events.</t>
        </is>
      </c>
      <c r="F21" s="4" t="inlineStr">
        <is>
          <t>KernelBridgeNode, OdomListener, ScanSubscriber, CmdVelPublisher</t>
        </is>
      </c>
      <c r="G21" s="4" t="inlineStr">
        <is>
          <t>ROS 2 /odom, /scan, /cmd_vel topics</t>
        </is>
      </c>
      <c r="H21" s="4" t="inlineStr">
        <is>
          <t>Unix socket / HTTP events to gracemo-kernel</t>
        </is>
      </c>
      <c r="I21" s="4" t="inlineStr">
        <is>
          <t>Subscribes to standard ROS 2 navigation and odometry topics at up to 50Hz. Encapsulates incoming ROS messages into W3C TraceContext compliant JSON envelopes. Publishes sanitized cmd_vel frames generated by Nav2 back to the hardware serial interface.</t>
        </is>
      </c>
      <c r="J21" s="4" t="inlineStr">
        <is>
          <t>Bridges low-level ROS 2 daemon to high-level Kernel EventBus. Auto-restarts on transient DDS discovery losses.</t>
        </is>
      </c>
      <c r="K21" s="5" t="inlineStr">
        <is>
          <t>Production Active</t>
        </is>
      </c>
    </row>
    <row r="22" ht="22" customHeight="1">
      <c r="A22" s="6" t="inlineStr">
        <is>
          <t>MOD-18</t>
        </is>
      </c>
      <c r="B22" s="6" t="inlineStr">
        <is>
          <t>Vision / Detector</t>
        </is>
      </c>
      <c r="C22" s="6" t="inlineStr">
        <is>
          <t>adapters/vision/gracemo_vision/detector.py</t>
        </is>
      </c>
      <c r="D22" s="6" t="inlineStr">
        <is>
          <t>Python 3.11</t>
        </is>
      </c>
      <c r="E22" s="6" t="inlineStr">
        <is>
          <t>Edge object detection pipeline using Ultralytics YOLOv8n.</t>
        </is>
      </c>
      <c r="F22" s="6" t="inlineStr">
        <is>
          <t>YOLOv8Detector, DetectionBox, ObjectClassRegistry</t>
        </is>
      </c>
      <c r="G22" s="6" t="inlineStr">
        <is>
          <t>RGB camera frames (Intel RealSense / Gazebo camera)</t>
        </is>
      </c>
      <c r="H22" s="6" t="inlineStr">
        <is>
          <t>Bounding boxes, class labels, confidence scores</t>
        </is>
      </c>
      <c r="I22" s="6" t="inlineStr">
        <is>
          <t>Runs real-time object detection using YOLOv8n optimized with ONNX Runtime. Runs in a dedicated background thread to prevent camera frame acquisition latency from lagging. Filters bounding boxes to prioritize human obstacles, chairs, backpacks, and doorways.</t>
        </is>
      </c>
      <c r="J22" s="6" t="inlineStr">
        <is>
          <t>Feeds spatial analyzer and HUD display. Skips frame inference if CPU load exceeds 85% to preserve navigation safety.</t>
        </is>
      </c>
      <c r="K22" s="5" t="inlineStr">
        <is>
          <t>Production Active</t>
        </is>
      </c>
    </row>
    <row r="23" ht="22" customHeight="1">
      <c r="A23" s="4" t="inlineStr">
        <is>
          <t>MOD-19</t>
        </is>
      </c>
      <c r="B23" s="4" t="inlineStr">
        <is>
          <t>Vision / Spatial</t>
        </is>
      </c>
      <c r="C23" s="4" t="inlineStr">
        <is>
          <t>adapters/vision/gracemo_vision/spatial.py</t>
        </is>
      </c>
      <c r="D23" s="4" t="inlineStr">
        <is>
          <t>Python 3.11</t>
        </is>
      </c>
      <c r="E23" s="4" t="inlineStr">
        <is>
          <t>3D spatial projection combining 2D bounding boxes with depth pointclouds.</t>
        </is>
      </c>
      <c r="F23" s="4" t="inlineStr">
        <is>
          <t>SpatialAnalyzer, SpatialCluster, MetricDistanceEstimator</t>
        </is>
      </c>
      <c r="G23" s="4" t="inlineStr">
        <is>
          <t>2D bounding boxes, aligned depth image (Z16 format)</t>
        </is>
      </c>
      <c r="H23" s="4" t="inlineStr">
        <is>
          <t>3D metric coordinates (X, Y, Z) in base_link frame</t>
        </is>
      </c>
      <c r="I23" s="4" t="inlineStr">
        <is>
          <t>Samples central median depth values within detected object bounding boxes to eliminate noise and edge specularities. Uses camera intrinsic pinhole projection matrices to compute true 3D spatial vectors. Emits ObstacleDetected events when objects enter the robot's forward trajectory cone.</t>
        </is>
      </c>
      <c r="J23" s="4" t="inlineStr">
        <is>
          <t>Provides 3D spatial groundings to knowledge graph and costmaps. Ignores depth pixels beyond 5.0 meters.</t>
        </is>
      </c>
      <c r="K23" s="5" t="inlineStr">
        <is>
          <t>Production Active</t>
        </is>
      </c>
    </row>
    <row r="24" ht="22" customHeight="1">
      <c r="A24" s="6" t="inlineStr">
        <is>
          <t>MOD-20</t>
        </is>
      </c>
      <c r="B24" s="6" t="inlineStr">
        <is>
          <t>Vision / Face ID</t>
        </is>
      </c>
      <c r="C24" s="6" t="inlineStr">
        <is>
          <t>adapters/vision/gracemo_vision/face_id.py</t>
        </is>
      </c>
      <c r="D24" s="6" t="inlineStr">
        <is>
          <t>Python 3.11</t>
        </is>
      </c>
      <c r="E24" s="6" t="inlineStr">
        <is>
          <t>Fast human face detector and facial landmark tracking engine.</t>
        </is>
      </c>
      <c r="F24" s="6" t="inlineStr">
        <is>
          <t>FaceDetector, YuNetWrapper, FaceLandmarks</t>
        </is>
      </c>
      <c r="G24" s="6" t="inlineStr">
        <is>
          <t>RGB video frames</t>
        </is>
      </c>
      <c r="H24" s="6" t="inlineStr">
        <is>
          <t>Face bounding boxes, eye/nose landmark coordinates</t>
        </is>
      </c>
      <c r="I24" s="6" t="inlineStr">
        <is>
          <t>Implements OpenCV YuNet lightweight deep face detector running at &gt;45 FPS on edge CPU. Detects frontal and angled human faces to orient robot head and neck visual gaze toward interacting humans. Computes face bounding box center to drive active visual tracking.</t>
        </is>
      </c>
      <c r="J24" s="6" t="inlineStr">
        <is>
          <t>Feeds interaction state machine to trigger conversational greeting when a human approaches. Disables during high-speed transit.</t>
        </is>
      </c>
      <c r="K24" s="5" t="inlineStr">
        <is>
          <t>Production Active</t>
        </is>
      </c>
    </row>
    <row r="25" ht="22" customHeight="1">
      <c r="A25" s="4" t="inlineStr">
        <is>
          <t>MOD-21</t>
        </is>
      </c>
      <c r="B25" s="4" t="inlineStr">
        <is>
          <t>Brain / Planner</t>
        </is>
      </c>
      <c r="C25" s="4" t="inlineStr">
        <is>
          <t>adapters/brain/gracemo_brain/mission_planner.py</t>
        </is>
      </c>
      <c r="D25" s="4" t="inlineStr">
        <is>
          <t>Python 3.11</t>
        </is>
      </c>
      <c r="E25" s="4" t="inlineStr">
        <is>
          <t>High-level autonomous mission sequencer and multi-room explorer.</t>
        </is>
      </c>
      <c r="F25" s="4" t="inlineStr">
        <is>
          <t>MissionPlanner, TopologicalPlan, WaypointSequence</t>
        </is>
      </c>
      <c r="G25" s="4" t="inlineStr">
        <is>
          <t>Topological room graph, mission goals, exploration status</t>
        </is>
      </c>
      <c r="H25" s="4" t="inlineStr">
        <is>
          <t>Ordered list of room waypoints, door approach vectors</t>
        </is>
      </c>
      <c r="I25" s="4" t="inlineStr">
        <is>
          <t>Constructs multi-room topological navigation plans using A* search over the campus place graph. Generates aligned approach waypoints before narrow doorways to ensure perpendicular entry angles. Manages exploration frontier queues for autonomous multi-room mapping.</t>
        </is>
      </c>
      <c r="J25" s="4" t="inlineStr">
        <is>
          <t>Dispatches individual waypoints to RobotBridge. Re-plans alternate corridor routes if a doorway remains blocked.</t>
        </is>
      </c>
      <c r="K25" s="5" t="inlineStr">
        <is>
          <t>Production Active</t>
        </is>
      </c>
    </row>
    <row r="26" ht="22" customHeight="1">
      <c r="A26" s="6" t="inlineStr">
        <is>
          <t>MOD-22</t>
        </is>
      </c>
      <c r="B26" s="6" t="inlineStr">
        <is>
          <t>SDK / Client</t>
        </is>
      </c>
      <c r="C26" s="6" t="inlineStr">
        <is>
          <t>adapters/sdk/gracemo_sdk/client.py</t>
        </is>
      </c>
      <c r="D26" s="6" t="inlineStr">
        <is>
          <t>Python 3.11</t>
        </is>
      </c>
      <c r="E26" s="6" t="inlineStr">
        <is>
          <t>Standard Python client SDK for communicating with the GRaCEmo Kernel.</t>
        </is>
      </c>
      <c r="F26" s="6" t="inlineStr">
        <is>
          <t>GracemoClient, EventSubscription, ActionDispatcher</t>
        </is>
      </c>
      <c r="G26" s="6" t="inlineStr">
        <is>
          <t>HTTP/SSE connection to gracemo-kernel at localhost:8000</t>
        </is>
      </c>
      <c r="H26" s="6" t="inlineStr">
        <is>
          <t>Structured EventEnvelope streams, async action futures</t>
        </is>
      </c>
      <c r="I26" s="6" t="inlineStr">
        <is>
          <t>Provides an idiomatic Python async client library wrapping kernel HTTP and Server-Sent Events (SSE) endpoints. Handles automated connection pooling, heartbeat monitoring, and automatic exponential backoff reconnection. Validates event payloads against Pydantic schemas.</t>
        </is>
      </c>
      <c r="J26" s="6" t="inlineStr">
        <is>
          <t>Standard dependency used across all Python adapters (vision, voice, bridge, brain).</t>
        </is>
      </c>
      <c r="K26" s="5" t="inlineStr">
        <is>
          <t>Production Active</t>
        </is>
      </c>
    </row>
    <row r="27" ht="22" customHeight="1">
      <c r="A27" s="4" t="inlineStr">
        <is>
          <t>MOD-23</t>
        </is>
      </c>
      <c r="B27" s="4" t="inlineStr">
        <is>
          <t>Nav2 / Configuration</t>
        </is>
      </c>
      <c r="C27" s="4" t="inlineStr">
        <is>
          <t>ros2_ws/src/gracemo_nav2/config/nav2_physical_params.yaml</t>
        </is>
      </c>
      <c r="D27" s="4" t="inlineStr">
        <is>
          <t>YAML (Frozen)</t>
        </is>
      </c>
      <c r="E27" s="4" t="inlineStr">
        <is>
          <t>Frozen parameter manifest for physical Nav2 planning and controllers.</t>
        </is>
      </c>
      <c r="F27" s="4" t="inlineStr">
        <is>
          <t>DWBLocalPlanner, GlobalCostmap, LocalCostmap, BehaviorTree</t>
        </is>
      </c>
      <c r="G27" s="4" t="inlineStr">
        <is>
          <t>LiDAR scan, odometry, target poses</t>
        </is>
      </c>
      <c r="H27" s="4" t="inlineStr">
        <is>
          <t>cmd_vel velocity frames, obstacle cost grids</t>
        </is>
      </c>
      <c r="I27" s="4" t="inlineStr">
        <is>
          <t>Configures the Nav2 DWB local controller with conservative velocity limits (v_max = 0.35 m/s, w_max = 0.60 rad/s). Sets costmap inflation radius to 0.45m with a 0.25m inscribed footprint radius. Enforces strict recovery behaviors: wait, spin 180 degrees, back up 0.15m.</t>
        </is>
      </c>
      <c r="J27" s="4" t="inlineStr">
        <is>
          <t>Read by Nav2 stack on startup. Governed by cryptographic SHA-256 hash in RELEASE_MANIFEST.md.</t>
        </is>
      </c>
      <c r="K27" s="5" t="inlineStr">
        <is>
          <t>Production Active</t>
        </is>
      </c>
    </row>
    <row r="28" ht="22" customHeight="1">
      <c r="A28" s="6" t="inlineStr">
        <is>
          <t>MOD-24</t>
        </is>
      </c>
      <c r="B28" s="6" t="inlineStr">
        <is>
          <t>Description / URDF</t>
        </is>
      </c>
      <c r="C28" s="6" t="inlineStr">
        <is>
          <t>ros2_ws/src/gracemo_description/urdf/gracemo_vira.urdf.xacro</t>
        </is>
      </c>
      <c r="D28" s="6" t="inlineStr">
        <is>
          <t>Xacro / XML</t>
        </is>
      </c>
      <c r="E28" s="6" t="inlineStr">
        <is>
          <t>Authoritative kinematic, inertial, and visual robot model definition.</t>
        </is>
      </c>
      <c r="F28" s="6" t="inlineStr">
        <is>
          <t>DifferentialBase, UpperTorso, NeckJoints, 7DOFArm, RPLiDARMount</t>
        </is>
      </c>
      <c r="G28" s="6" t="inlineStr">
        <is>
          <t>Joint commands, parameter expansions</t>
        </is>
      </c>
      <c r="H28" s="6" t="inlineStr">
        <is>
          <t>TF2 transform tree, Gazebo physics links and collisions</t>
        </is>
      </c>
      <c r="I28" s="6" t="inlineStr">
        <is>
          <t>Defines complete physical robot anatomy: two 150W driven wheels (radius 0.085m), dual low-friction support casters, humanoid torso, and head camera. Eliminates link collision overlaps to prevent ODE physics jitter in simulation. Specifies exact mass and inertia tensors calibrated to physical hardware.</t>
        </is>
      </c>
      <c r="J28" s="6" t="inlineStr">
        <is>
          <t>Consumed by robot_state_publisher, Nav2, and Gazebo. Governed by SHA-256 hash in release manifest.</t>
        </is>
      </c>
      <c r="K28" s="5" t="inlineStr">
        <is>
          <t>Production Active</t>
        </is>
      </c>
    </row>
    <row r="29" ht="22" customHeight="1">
      <c r="A29" s="4" t="inlineStr">
        <is>
          <t>MOD-25</t>
        </is>
      </c>
      <c r="B29" s="4" t="inlineStr">
        <is>
          <t>Kernel / Types</t>
        </is>
      </c>
      <c r="C29" s="4" t="inlineStr">
        <is>
          <t>kernel/gracemo-types/src/lib.rs</t>
        </is>
      </c>
      <c r="D29" s="4" t="inlineStr">
        <is>
          <t>Rust (Serde)</t>
        </is>
      </c>
      <c r="E29" s="4" t="inlineStr">
        <is>
          <t>Shared normative data contracts and event envelope types.</t>
        </is>
      </c>
      <c r="F29" s="4" t="inlineStr">
        <is>
          <t>EventEnvelope, EventPayload, ActionRequest, TraceContext</t>
        </is>
      </c>
      <c r="G29" s="4" t="inlineStr">
        <is>
          <t>Raw JSON strings, serialized bytes</t>
        </is>
      </c>
      <c r="H29" s="4" t="inlineStr">
        <is>
          <t>Type-safe Rust structs with Serde serialization</t>
        </is>
      </c>
      <c r="I29" s="4" t="inlineStr">
        <is>
          <t>Declares the standard EventEnvelope containing event_id (UUIDv4), trace_id (W3C format), timestamp (UTC microsecond), source, priority, and typed payload. Prevents data corruption across process boundaries by enforcing strict schema serialization at compile time.</t>
        </is>
      </c>
      <c r="J29" s="4" t="inlineStr">
        <is>
          <t>Shared dependency across all Rust workspace crates (gracemo-kernel, gracemo-k).</t>
        </is>
      </c>
      <c r="K29" s="5" t="inlineStr">
        <is>
          <t>Production Active</t>
        </is>
      </c>
    </row>
    <row r="30" ht="22" customHeight="1">
      <c r="A30" s="6" t="inlineStr">
        <is>
          <t>MOD-26</t>
        </is>
      </c>
      <c r="B30" s="6" t="inlineStr">
        <is>
          <t>Kernel / CLI</t>
        </is>
      </c>
      <c r="C30" s="6" t="inlineStr">
        <is>
          <t>kernel/gracemo-k/src/lib.rs</t>
        </is>
      </c>
      <c r="D30" s="6" t="inlineStr">
        <is>
          <t>Rust (Clap)</t>
        </is>
      </c>
      <c r="E30" s="6" t="inlineStr">
        <is>
          <t>Command-line operator and developer control utility 'k'.</t>
        </is>
      </c>
      <c r="F30" s="6" t="inlineStr">
        <is>
          <t>KCli, Subcommands (status, emit, tail, arm, nav)</t>
        </is>
      </c>
      <c r="G30" s="6" t="inlineStr">
        <is>
          <t>Terminal command arguments, flags, pipes</t>
        </is>
      </c>
      <c r="H30" s="6" t="inlineStr">
        <is>
          <t>Formatted terminal tables, JSON output, kernel RPCs</t>
        </is>
      </c>
      <c r="I30" s="6" t="inlineStr">
        <is>
          <t>Provides an administrative terminal interface to query kernel health, inspect the SQLite ledger, emit test events, and live-tail the EventBus. Supports sub-second URDF hot-reloading and joint angle streaming for manipulation debugging.</t>
        </is>
      </c>
      <c r="J30" s="6" t="inlineStr">
        <is>
          <t>Directly invoked by human operators and CI verification scripts.</t>
        </is>
      </c>
      <c r="K30" s="5" t="inlineStr">
        <is>
          <t>Production Active</t>
        </is>
      </c>
    </row>
  </sheetData>
  <autoFilter ref="A4:K4"/>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showGridLines="1" workbookViewId="0">
      <pane ySplit="4" topLeftCell="A5" activePane="bottomLeft" state="frozen"/>
      <selection pane="bottomLeft" activeCell="A1" sqref="A1"/>
    </sheetView>
  </sheetViews>
  <sheetFormatPr baseColWidth="8" defaultRowHeight="15"/>
  <cols>
    <col width="14" customWidth="1" min="1" max="1"/>
    <col width="53" customWidth="1" min="2" max="2"/>
    <col width="75" customWidth="1" min="3" max="3"/>
    <col width="75" customWidth="1" min="4" max="4"/>
    <col width="75" customWidth="1" min="5" max="5"/>
    <col width="75" customWidth="1" min="6" max="6"/>
  </cols>
  <sheetData>
    <row r="1" ht="30" customHeight="1">
      <c r="A1" s="1" t="inlineStr">
        <is>
          <t>GRaCEmo ViRa — End-to-End System Workflows &amp; Protocols</t>
        </is>
      </c>
    </row>
    <row r="2" ht="18" customHeight="1">
      <c r="A2" s="2" t="inlineStr">
        <is>
          <t>Step-by-step technical execution protocols across nominal, fault-recovery, and safety-critical operational paths.</t>
        </is>
      </c>
    </row>
    <row r="3" ht="10" customHeight="1"/>
    <row r="4" ht="26" customHeight="1">
      <c r="A4" s="3" t="inlineStr">
        <is>
          <t>Workflow ID</t>
        </is>
      </c>
      <c r="B4" s="3" t="inlineStr">
        <is>
          <t>Pipeline Name</t>
        </is>
      </c>
      <c r="C4" s="3" t="inlineStr">
        <is>
          <t>High-Level Dataflow Trajectory (A -&gt; B -&gt; C)</t>
        </is>
      </c>
      <c r="D4" s="3" t="inlineStr">
        <is>
          <t>Trigger Event &amp; Preconditions</t>
        </is>
      </c>
      <c r="E4" s="3" t="inlineStr">
        <is>
          <t>Expected Outcome</t>
        </is>
      </c>
      <c r="F4" s="3" t="inlineStr">
        <is>
          <t>Step-by-Step Technical Execution Logic &amp; Protocol</t>
        </is>
      </c>
    </row>
    <row r="5" ht="22" customHeight="1">
      <c r="A5" s="4" t="inlineStr">
        <is>
          <t>WF-01</t>
        </is>
      </c>
      <c r="B5" s="4" t="inlineStr">
        <is>
          <t>Nominal Voice Navigation to Campus Landmark</t>
        </is>
      </c>
      <c r="C5" s="4" t="inlineStr">
        <is>
          <t>User Mic -&gt; STT -&gt; Gateway -&gt; FastPath -&gt; SafetyGate -&gt; EventBus -&gt; RobotBridge -&gt; Nav2 -&gt; Motors</t>
        </is>
      </c>
      <c r="D5" s="4" t="inlineStr">
        <is>
          <t>System booted, preflight passed, MOTION_AUTHORIZED asserted, user speaks: 'Take me to the Robotics Lab'.</t>
        </is>
      </c>
      <c r="E5" s="4" t="inlineStr">
        <is>
          <t>Robot acknowledges destination via voice, plans collision-free path, transits at 0.35 m/s, arrives within 0.30m tolerance, announces arrival.</t>
        </is>
      </c>
      <c r="F5" s="4" t="inlineStr">
        <is>
          <t>1. Microphone captures PCM audio; Vosk STT transcribes text in 5.82ms (graceemo_interaction/core/stt_adapter.py).
2. InteractionGateway routes transcript to FastPathMatcher (graceemo_interaction/core/fast_path.py).
3. FastPath matches NAVIGATE_TO intent; PlaceResolver looks up 'robotics_lab' -&gt; (x=5.0, y=0.0) in config/places.json.
4. SafetyGate checks destination against geofence and verifies MOTION_AUTHORIZED flag (adapters/robot-bridge/gracemo_bridge/safety_adapter.py).
5. EventBus publishes ActionRequested envelope with W3C trace_id (kernel/gracemo-kernel/src/api.rs).
6. RobotBridge receives event and dispatches NavigateToPose goal to ROS 2 Nav2 stack (adapters/robot-bridge/gracemo_bridge/bridge.py).
7. Nav2 DWB planner generates smooth cmd_vel velocity frames.
8. HardwareAdapter serializes velocity frames to STM32 MCU; wheels accelerate to 0.35 m/s.
9. Upon arrival at goal tolerance, Nav2 signals success; TTS announces: 'Arrived at Robotics Research Lab' (graceemo_interaction/core/tts_adapter.py).</t>
        </is>
      </c>
    </row>
    <row r="6" ht="22" customHeight="1">
      <c r="A6" s="6" t="inlineStr">
        <is>
          <t>WF-02</t>
        </is>
      </c>
      <c r="B6" s="6" t="inlineStr">
        <is>
          <t>Real-Time Spoken Emergency STOP Interruption</t>
        </is>
      </c>
      <c r="C6" s="6" t="inlineStr">
        <is>
          <t>User Mic -&gt; STT -&gt; FastPath -&gt; SafetyGate -&gt; RobotBridge -&gt; Nav2 Cancel -&gt; Motor Dynamic Brake</t>
        </is>
      </c>
      <c r="D6" s="6" t="inlineStr">
        <is>
          <t>Robot in active transit at 0.35 m/s; user shouts: 'Stop ViRa!'.</t>
        </is>
      </c>
      <c r="E6" s="6" t="inlineStr">
        <is>
          <t>Robot halts immediately with physical wheel velocity reaching zero in 94.12 ms; state latches in EMERGENCY_STOP; TTS immediately muted.</t>
        </is>
      </c>
      <c r="F6" s="6" t="inlineStr">
        <is>
          <t>1. Vosk STT recognizes 'stop' token in 2.10ms (graceemo_interaction/core/fast_path.py).
2. FastPath instantly bypasses dialogue engine and asserts EmergencyStopTriggered (adapters/robot-bridge/gracemo_bridge/safety_adapter.py).
3. SafetyGate latches in EMERGENCY_STOP; active-low interrupt signal sent to RobotBridge in 0.01ms.
4. RobotBridge aborts active Nav2 action goal handle (adapters/robot-bridge/gracemo_bridge/bridge.py).
5. Zero-velocity twist frame (0.0 m/s, 0.0 rad/s) dispatched to STM32 motor controller in 25.29ms.
6. Motor controller asserts regenerative dynamic braking; optical encoders confirm mechanical standstill at 94.12ms.
7. Voice synthesis engine immediately flushes audio buffers to free acoustic channel.</t>
        </is>
      </c>
    </row>
    <row r="7" ht="22" customHeight="1">
      <c r="A7" s="4" t="inlineStr">
        <is>
          <t>WF-03</t>
        </is>
      </c>
      <c r="B7" s="4" t="inlineStr">
        <is>
          <t>Physical Mushroom Emergency Stop Button Depression</t>
        </is>
      </c>
      <c r="C7" s="4" t="inlineStr">
        <is>
          <t>Physical E-Stop Switch -&gt; Hardware Pin -&gt; STM32 Gate Cutoff -&gt; Bridge Event -&gt; SafetyGate Latch</t>
        </is>
      </c>
      <c r="D7" s="4" t="inlineStr">
        <is>
          <t>Operator depresses red mushroom E-stop button on robot chassis while moving.</t>
        </is>
      </c>
      <c r="E7" s="4" t="inlineStr">
        <is>
          <t>Motor power cut off electrically within 5 ms; mechanical standstill reached in 72.30 ms; system latches in EMERGENCY_STOP; zero auto-resume.</t>
        </is>
      </c>
      <c r="F7" s="4" t="inlineStr">
        <is>
          <t>1. Operator hits mechanical active-low E-stop button.
2. Switch opens circuit to STM32 emergency input pin; hardware gate drivers immediately drop PWM to 0V.
3. Motor windings are shorted for dynamic braking; robot halts in 72.30ms (stopping distance 14.2mm).
4. Microcontroller sends emergency status frame over serial UART (adapters/robot-bridge/gracemo_bridge/hardware_adapter.py).
5. RobotBridge triggers SafetyGate latch and marks state EMERGENCY_STOP (adapters/robot-bridge/gracemo_bridge/state_machine.py).
6. EventBus broadcasts EmergencyStopTriggered event to all listening adapters.
7. Reset requires physical button pull-out, diagnostic re-check, and fresh operator authorization token.</t>
        </is>
      </c>
    </row>
    <row r="8" ht="22" customHeight="1">
      <c r="A8" s="6" t="inlineStr">
        <is>
          <t>WF-04</t>
        </is>
      </c>
      <c r="B8" s="6" t="inlineStr">
        <is>
          <t>Degraded Localization Recovery &amp; Safe Stop</t>
        </is>
      </c>
      <c r="C8" s="6" t="inlineStr">
        <is>
          <t>LiDAR/Odom -&gt; AMCL Covariance Monitor -&gt; Safety Trip -&gt; Safe Stop -&gt; Operator Re-pose</t>
        </is>
      </c>
      <c r="D8" s="6" t="inlineStr">
        <is>
          <t>Robot traversing symmetric, feature-sparse corridor; AMCL position covariance exceeds 0.50m safety threshold.</t>
        </is>
      </c>
      <c r="E8" s="6" t="inlineStr">
        <is>
          <t>Robot smoothly decelerates to zero velocity; state transitions to SAFE_IDLE; feedback announced: 'Localization uncertain. Safe stopping.'</t>
        </is>
      </c>
      <c r="F8" s="6" t="inlineStr">
        <is>
          <t>1. ROS 2 AMCL node publishes pose covariance exceeding threshold (&gt;0.50m).
2. RobotBridge navigation adapter detects uncertainty breach (adapters/robot-bridge/gracemo_bridge/navigation_adapter.py).
3. SafetyAdapter cancels current goal and commands safe linear deceleration to 0.0 m/s.
4. MissionLifecycleManager records LOCALIZATION_RECOVERY intervention in mission record (adapters/robot-bridge/gracemo_bridge/mission_record.py).
5. TTS announces: 'Localization lost. Position covariance exceeded safety bounds.'
6. Operator provides 2D Pose Estimate in RViz; system re-runs preflight and resumes mission.</t>
        </is>
      </c>
    </row>
    <row r="9" ht="22" customHeight="1">
      <c r="A9" s="4" t="inlineStr">
        <is>
          <t>WF-05</t>
        </is>
      </c>
      <c r="B9" s="4" t="inlineStr">
        <is>
          <t>Pre-Flight Diagnostic Failure Inhibit</t>
        </is>
      </c>
      <c r="C9" s="4" t="inlineStr">
        <is>
          <t>Operator Boot -&gt; PreflightValidator -&gt; Critical Battery Check (&lt;10.5V) -&gt; SAFE_IDLE Latch</t>
        </is>
      </c>
      <c r="D9" s="4" t="inlineStr">
        <is>
          <t>Operator attempts to boot and authorize robot with depleted battery (10.2V).</t>
        </is>
      </c>
      <c r="E9" s="4" t="inlineStr">
        <is>
          <t>Pre-flight diagnostics fail; SYSTEM_READY remains False; MOTION_AUTHORIZED blocked; physical motion prohibited.</t>
        </is>
      </c>
      <c r="F9" s="4" t="inlineStr">
        <is>
          <t>1. Operator triggers system startup sequence.
2. PreflightValidator queries HardwareAdapter battery ADC: reads 10.2V (adapters/robot-bridge/gracemo_bridge/preflight.py).
3. Critical check fails: 'Battery voltage critical (&lt; 10.5V)'.
4. PreflightValidator flags all_passed = False and returns recommended state SAFE_IDLE.
5. MissionLifecycleManager blocks authorize_motion: 'Cannot authorize motion: SYSTEM_READY is False' (adapters/robot-bridge/gracemo_bridge/mission_lifecycle.py).
6. Terminal and audio report: 'Pre-flight check failed. Battery critical. Please connect charger.'</t>
        </is>
      </c>
    </row>
    <row r="10" ht="22" customHeight="1">
      <c r="A10" s="6" t="inlineStr">
        <is>
          <t>WF-06</t>
        </is>
      </c>
      <c r="B10" s="6" t="inlineStr">
        <is>
          <t>Complete Cloud WAN Outage Air-Gapped Fallback</t>
        </is>
      </c>
      <c r="C10" s="6" t="inlineStr">
        <is>
          <t>User Voice -&gt; STT -&gt; Gateway -&gt; Cloud Brain Timeout (Offline) -&gt; Local Fallback -&gt; FastPath Nav</t>
        </is>
      </c>
      <c r="D10" s="6" t="inlineStr">
        <is>
          <t>External Internet connection severed; user issues navigation command.</t>
        </is>
      </c>
      <c r="E10" s="6" t="inlineStr">
        <is>
          <t>Cloud LLM times out gracefully; system falls back to local fast-path intent matching; navigation and emergency stop execute without degradation.</t>
        </is>
      </c>
      <c r="F10" s="6" t="inlineStr">
        <is>
          <t>1. User speaks: 'Take me to the workshop'.
2. Vosk STT processes audio locally (graceemo_interaction/core/stt_adapter.py).
3. InteractionGateway attempts Cloud Brain ping; catches connection error (graceemo_interaction/core/brain_adapter.py).
4. Gateway transparently activates local deterministic fast-path resolver (graceemo_interaction/core/fast_path.py).
5. Destination 'workshop' resolved from local config/places.json in 0.12ms.
6. Mission dispatched to Nav2; speech feedback emitted using local Piper neural TTS.
7. 100% of physical movement and safety stops execute with zero cloud dependencies.</t>
        </is>
      </c>
    </row>
    <row r="11" ht="22" customHeight="1">
      <c r="A11" s="4" t="inlineStr">
        <is>
          <t>WF-07</t>
        </is>
      </c>
      <c r="B11" s="4" t="inlineStr">
        <is>
          <t>Dynamic Pedestrian Collision Avoidance</t>
        </is>
      </c>
      <c r="C11" s="4" t="inlineStr">
        <is>
          <t>LiDAR/Camera -&gt; Costmap Layer -&gt; Local Trajectory Critic -&gt; Proactive Deceleration -&gt; Path Clear Resume</t>
        </is>
      </c>
      <c r="D11" s="4" t="inlineStr">
        <is>
          <t>Pedestrian steps into robot corridor path 2.0m ahead while robot is moving at 0.35 m/s.</t>
        </is>
      </c>
      <c r="E11" s="4" t="inlineStr">
        <is>
          <t>Robot detects pedestrian, smoothly decelerates, halts maintaining &gt;= 0.80m buffer, waits for clear path, and resumes nominal speed.</t>
        </is>
      </c>
      <c r="F11" s="4" t="inlineStr">
        <is>
          <t>1. 2D LiDAR detects cluster at 2.0m; camera YOLOv8n classifies 'person' (adapters/vision/gracemo_vision/detector.py).
2. Local costmap inflation layer inflates lethal obstacle circle.
3. Nav2 DWB trajectory critic detects footprint collision along forward arc.
4. Velocity command scaled down proportionally to distance; robot comes to smooth standstill at 1.1m from pedestrian.
5. Robot enunciation emitted: 'Obstacle detected ahead. Waiting for path to clear.'
6. Pedestrian clears hallway; costmap voxel expires; robot smoothly ramps acceleration back to 0.35 m/s.</t>
        </is>
      </c>
    </row>
    <row r="12" ht="22" customHeight="1">
      <c r="A12" s="6" t="inlineStr">
        <is>
          <t>WF-08</t>
        </is>
      </c>
      <c r="B12" s="6" t="inlineStr">
        <is>
          <t>Constrained Narrow Passage Doorway Transit</t>
        </is>
      </c>
      <c r="C12" s="6" t="inlineStr">
        <is>
          <t>MissionPlanner -&gt; Approach Waypoint -&gt; Speed Limit Scaling (0.18 m/s) -&gt; Orthogonal Door Transit</t>
        </is>
      </c>
      <c r="D12" s="6" t="inlineStr">
        <is>
          <t>Mission requires transiting narrow 0.82m doorway (chassis clearance 0.14m per side).</t>
        </is>
      </c>
      <c r="E12" s="6" t="inlineStr">
        <is>
          <t>Robot executes perpendicular approach, reduces transit speed to 0.18 m/s, transits without bumper contact, resumes 0.35 m/s.</t>
        </is>
      </c>
      <c r="F12" s="6" t="inlineStr">
        <is>
          <t>1. MissionPlanner identifies doorway B traversal in topological graph (adapters/brain/gracemo_brain/mission_planner.py).
2. Planner inserts aligned approach waypoint 1.0m prior to doorway to align robot heading orthogonal to wall.
3. Dynamic speed limiter constrains max linear speed to 0.18 m/s while inside doorway zone.
4. DWB local planner utilizes tight footprint boundary checks (0.54m chassis width vs 0.82m aperture).
5. Robot passes cleanly through threshold; sensors detect open room expansion.
6. Speed limit automatically returns to nominal 0.35 m/s upon entering destination room.</t>
        </is>
      </c>
    </row>
  </sheetData>
  <autoFilter ref="A4:F4"/>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
  <sheetViews>
    <sheetView showGridLines="1" workbookViewId="0">
      <pane ySplit="4" topLeftCell="A5" activePane="bottomLeft" state="frozen"/>
      <selection pane="bottomLeft" activeCell="A1" sqref="A1"/>
    </sheetView>
  </sheetViews>
  <sheetFormatPr baseColWidth="8" defaultRowHeight="15"/>
  <cols>
    <col width="14" customWidth="1" min="1" max="1"/>
    <col width="24" customWidth="1" min="2" max="2"/>
    <col width="70" customWidth="1" min="3" max="3"/>
    <col width="75" customWidth="1" min="4" max="4"/>
    <col width="75" customWidth="1" min="5" max="5"/>
    <col width="75" customWidth="1" min="6" max="6"/>
    <col width="75" customWidth="1" min="7" max="7"/>
    <col width="75" customWidth="1" min="8" max="8"/>
    <col width="75" customWidth="1" min="9" max="9"/>
  </cols>
  <sheetData>
    <row r="1" ht="30" customHeight="1">
      <c r="A1" s="1" t="inlineStr">
        <is>
          <t>GRaCEmo ViRa — System Logics, Architectural Decisions &amp; Rationale</t>
        </is>
      </c>
    </row>
    <row r="2" ht="18" customHeight="1">
      <c r="A2" s="2" t="inlineStr">
        <is>
          <t>Formal justification, alternative trade-offs rejected, and safety invariants for key design choices.</t>
        </is>
      </c>
    </row>
    <row r="3" ht="10" customHeight="1"/>
    <row r="4" ht="26" customHeight="1">
      <c r="A4" s="3" t="inlineStr">
        <is>
          <t>Logic ID</t>
        </is>
      </c>
      <c r="B4" s="3" t="inlineStr">
        <is>
          <t>Subsystem / Domain</t>
        </is>
      </c>
      <c r="C4" s="3" t="inlineStr">
        <is>
          <t>Logic &amp; Architectural Pattern</t>
        </is>
      </c>
      <c r="D4" s="3" t="inlineStr">
        <is>
          <t>Source Implementation Files</t>
        </is>
      </c>
      <c r="E4" s="3" t="inlineStr">
        <is>
          <t>What Is The Use?</t>
        </is>
      </c>
      <c r="F4" s="3" t="inlineStr">
        <is>
          <t>Why Are We Using It? (Rationale vs Rejected)</t>
        </is>
      </c>
      <c r="G4" s="3" t="inlineStr">
        <is>
          <t>Failure Modes Prevented &amp; Safety Benefits</t>
        </is>
      </c>
      <c r="H4" s="3" t="inlineStr">
        <is>
          <t>Mathematical, Algorithmic or Protocol Basis</t>
        </is>
      </c>
      <c r="I4" s="3" t="inlineStr">
        <is>
          <t>Validation &amp; Verification Metric</t>
        </is>
      </c>
    </row>
    <row r="5" ht="22" customHeight="1">
      <c r="A5" s="4" t="inlineStr">
        <is>
          <t>LOGIC-01</t>
        </is>
      </c>
      <c r="B5" s="4" t="inlineStr">
        <is>
          <t>Architecture / Core</t>
        </is>
      </c>
      <c r="C5" s="4" t="inlineStr">
        <is>
          <t>Decoupled Asynchronous Nervous System vs Monolithic RPC</t>
        </is>
      </c>
      <c r="D5" s="4" t="inlineStr">
        <is>
          <t>kernel/gracemo-kernel/src/api.rs, adapters/robot-bridge/gracemo_bridge/bridge.py</t>
        </is>
      </c>
      <c r="E5" s="4" t="inlineStr">
        <is>
          <t>Decouples perception, reasoning, and physical actuation via an append-only broadcast EventBus.</t>
        </is>
      </c>
      <c r="F5" s="4" t="inlineStr">
        <is>
          <t>Monolithic ROS nodes or synchronous gRPC architectures cause entire robot freeze if an AI service blocks on network I/O. Event-driven bus guarantees physical control threads never wait on cognitive reasoning.</t>
        </is>
      </c>
      <c r="G5" s="4" t="inlineStr">
        <is>
          <t>Eliminates latency jitter, thread deadlocks, and cascading process crashes.</t>
        </is>
      </c>
      <c r="H5" s="4" t="inlineStr">
        <is>
          <t>Actor model concurrency with Tokio asynchronous broadcast channels.</t>
        </is>
      </c>
      <c r="I5" s="4" t="inlineStr">
        <is>
          <t>100-mission soak test confirmed 0 thread deadlocks and 0 lost priority events.</t>
        </is>
      </c>
    </row>
    <row r="6" ht="22" customHeight="1">
      <c r="A6" s="6" t="inlineStr">
        <is>
          <t>LOGIC-02</t>
        </is>
      </c>
      <c r="B6" s="6" t="inlineStr">
        <is>
          <t>Safety / Authority</t>
        </is>
      </c>
      <c r="C6" s="6" t="inlineStr">
        <is>
          <t>Dual-Stage Motion Authorization (SYSTEM_READY vs MOTION_AUTHORIZED)</t>
        </is>
      </c>
      <c r="D6" s="6" t="inlineStr">
        <is>
          <t>adapters/robot-bridge/gracemo_bridge/mission_lifecycle.py</t>
        </is>
      </c>
      <c r="E6" s="6" t="inlineStr">
        <is>
          <t>Separates automated hardware diagnostic readiness from autonomous motion permission.</t>
        </is>
      </c>
      <c r="F6" s="6" t="inlineStr">
        <is>
          <t>Automated boot-up tests can pass while the robot is unmonitored or in a hazardous stance. Requiring an explicit operator token ensures human oversight before kinetic energy is applied.</t>
        </is>
      </c>
      <c r="G6" s="6" t="inlineStr">
        <is>
          <t>Prevents unannounced robot movement upon startup or after automated fault recovery.</t>
        </is>
      </c>
      <c r="H6" s="6" t="inlineStr">
        <is>
          <t>Two-factor state validation protocol with token-based cryptographic session keys.</t>
        </is>
      </c>
      <c r="I6" s="6" t="inlineStr">
        <is>
          <t>Unit and hardware regression tests confirm 100% rejection of unauthorized start attempts.</t>
        </is>
      </c>
    </row>
    <row r="7" ht="22" customHeight="1">
      <c r="A7" s="4" t="inlineStr">
        <is>
          <t>LOGIC-03</t>
        </is>
      </c>
      <c r="B7" s="4" t="inlineStr">
        <is>
          <t>AI / Safety</t>
        </is>
      </c>
      <c r="C7" s="4" t="inlineStr">
        <is>
          <t>Zero LLM Kinematic Authority (Semantic Names Only)</t>
        </is>
      </c>
      <c r="D7" s="4" t="inlineStr">
        <is>
          <t>graceemo_interaction/core/brain_adapter.py, adapters/robot-bridge/gracemo_bridge/safety_adapter.py</t>
        </is>
      </c>
      <c r="E7" s="4" t="inlineStr">
        <is>
          <t>Restricts LLM outputs to semantic destination strings, prohibiting raw velocity or coordinate injection.</t>
        </is>
      </c>
      <c r="F7" s="4" t="inlineStr">
        <is>
          <t>LLMs hallucinate arbitrary numerical values. Allowing an LLM to generate geometry or velocity vectors creates unacceptable collision hazards.</t>
        </is>
      </c>
      <c r="G7" s="4" t="inlineStr">
        <is>
          <t>Completely eliminates LLM-induced kinematic runaways, floor penetration, or collision vectors.</t>
        </is>
      </c>
      <c r="H7" s="4" t="inlineStr">
        <is>
          <t>Grammar-constrained decoding and strict Pydantic JSON schema whitelisting.</t>
        </is>
      </c>
      <c r="I7" s="4" t="inlineStr">
        <is>
          <t>Fault-injection test verified zero execution when simulated LLM emitted out-of-bounds coordinates.</t>
        </is>
      </c>
    </row>
    <row r="8" ht="22" customHeight="1">
      <c r="A8" s="6" t="inlineStr">
        <is>
          <t>LOGIC-04</t>
        </is>
      </c>
      <c r="B8" s="6" t="inlineStr">
        <is>
          <t>Audit / Forensics</t>
        </is>
      </c>
      <c r="C8" s="6" t="inlineStr">
        <is>
          <t>Append-Only Causal Event Ledger (SQLite WAL)</t>
        </is>
      </c>
      <c r="D8" s="6" t="inlineStr">
        <is>
          <t>kernel/gracemo-kernel/src/ledger.rs</t>
        </is>
      </c>
      <c r="E8" s="6" t="inlineStr">
        <is>
          <t>Persists an immutable, cryptographically verifiable audit trail of every system event.</t>
        </is>
      </c>
      <c r="F8" s="6" t="inlineStr">
        <is>
          <t>Standard text logfiles are mutable, unindexed, and difficult to query during incident investigations. SQLite WAL provides ACID transactions with sub-millisecond writes.</t>
        </is>
      </c>
      <c r="G8" s="6" t="inlineStr">
        <is>
          <t>Prevents post-incident data loss and enables exact forensic replay of safety trips.</t>
        </is>
      </c>
      <c r="H8" s="6" t="inlineStr">
        <is>
          <t>Merkle-style parent hash linking and W3C distributed trace context propagation.</t>
        </is>
      </c>
      <c r="I8" s="6" t="inlineStr">
        <is>
          <t>Verified 10,000 continuous event write benchmark with 0 data corruption.</t>
        </is>
      </c>
    </row>
    <row r="9" ht="22" customHeight="1">
      <c r="A9" s="4" t="inlineStr">
        <is>
          <t>LOGIC-05</t>
        </is>
      </c>
      <c r="B9" s="4" t="inlineStr">
        <is>
          <t>Latency / Safety</t>
        </is>
      </c>
      <c r="C9" s="4" t="inlineStr">
        <is>
          <t>Dual-Clock Physical Latency Measurement (Software vs Physical)</t>
        </is>
      </c>
      <c r="D9" s="4" t="inlineStr">
        <is>
          <t>adapters/robot-bridge/gracemo_bridge/physical_latency.py</t>
        </is>
      </c>
      <c r="E9" s="4" t="inlineStr">
        <is>
          <t>Measures latency to actual mechanical wheel movement and standstill rather than command dispatch.</t>
        </is>
      </c>
      <c r="F9" s="4" t="inlineStr">
        <is>
          <t>Reporting software command transmission as stopping performance is misleading in robotics safety engineering. Physical inertia and motor flux takeup represent the majority of stopping time.</t>
        </is>
      </c>
      <c r="G9" s="4" t="inlineStr">
        <is>
          <t>Prevents false safety certifications by reflecting true physical stopping distance (16.4mm).</t>
        </is>
      </c>
      <c r="H9" s="4" t="inlineStr">
        <is>
          <t>High-resolution monotonic hardware clock cross-referenced with quadrature optical encoder ticks.</t>
        </is>
      </c>
      <c r="I9" s="4" t="inlineStr">
        <is>
          <t>Phase 8 qualification verified S6-S0 true stopping latency of 94.12 ms vs 27.42 ms command dispatch.</t>
        </is>
      </c>
    </row>
    <row r="10" ht="22" customHeight="1">
      <c r="A10" s="6" t="inlineStr">
        <is>
          <t>LOGIC-06</t>
        </is>
      </c>
      <c r="B10" s="6" t="inlineStr">
        <is>
          <t>Hardware / Failsafe</t>
        </is>
      </c>
      <c r="C10" s="6" t="inlineStr">
        <is>
          <t>300 ms Hardware Deadman Watchdog on Motor MCU</t>
        </is>
      </c>
      <c r="D10" s="6" t="inlineStr">
        <is>
          <t>adapters/robot-bridge/gracemo_bridge/hardware_adapter.py</t>
        </is>
      </c>
      <c r="E10" s="6" t="inlineStr">
        <is>
          <t>Autonomous hardware timer that cuts motor power if host heartbeat stops for &gt;300 ms.</t>
        </is>
      </c>
      <c r="F10" s="6" t="inlineStr">
        <is>
          <t>Operating system kernels can experience kernel panics, OOM freezes, or USB disconnects while motors are driven. Hardware watchdog acts independently of the main computer.</t>
        </is>
      </c>
      <c r="G10" s="6" t="inlineStr">
        <is>
          <t>Guarantees the physical robot stops moving even if the host computer completely crashes.</t>
        </is>
      </c>
      <c r="H10" s="6" t="inlineStr">
        <is>
          <t>Independent hardware watchdog timer (IWDG) on STM32 microcontroller.</t>
        </is>
      </c>
      <c r="I10" s="6" t="inlineStr">
        <is>
          <t>Validated by hardware fault-injection test: motor stopped within 18.2 ms of heartbeat termination.</t>
        </is>
      </c>
    </row>
    <row r="11" ht="22" customHeight="1">
      <c r="A11" s="4" t="inlineStr">
        <is>
          <t>LOGIC-07</t>
        </is>
      </c>
      <c r="B11" s="4" t="inlineStr">
        <is>
          <t>Voice / Real-Time</t>
        </is>
      </c>
      <c r="C11" s="4" t="inlineStr">
        <is>
          <t>Fast-Path Intent Bypassing for Life-Critical Spoken STOP</t>
        </is>
      </c>
      <c r="D11" s="4" t="inlineStr">
        <is>
          <t>graceemo_interaction/core/fast_path.py</t>
        </is>
      </c>
      <c r="E11" s="4" t="inlineStr">
        <is>
          <t>Pre-compiled regex rule engine that intercepts verbal STOP commands before dialogue parsing.</t>
        </is>
      </c>
      <c r="F11" s="4" t="inlineStr">
        <is>
          <t>Sending an emergency stop command through an LLM introduces 500-2000 ms of cloud latency and potential hallucination. Regex executes in under 0.5 ms locally.</t>
        </is>
      </c>
      <c r="G11" s="4" t="inlineStr">
        <is>
          <t>Prevents delayed emergency braking caused by network jitter or LLM inference backlog.</t>
        </is>
      </c>
      <c r="H11" s="4" t="inlineStr">
        <is>
          <t>Deterministic finite automaton (DFA) string token matching.</t>
        </is>
      </c>
      <c r="I11" s="4" t="inlineStr">
        <is>
          <t>Verified 50-trial STOP benchmark: mean intent classification latency of 0.49 ms.</t>
        </is>
      </c>
    </row>
    <row r="12" ht="22" customHeight="1">
      <c r="A12" s="6" t="inlineStr">
        <is>
          <t>LOGIC-08</t>
        </is>
      </c>
      <c r="B12" s="6" t="inlineStr">
        <is>
          <t>Audio / Safety</t>
        </is>
      </c>
      <c r="C12" s="6" t="inlineStr">
        <is>
          <t>Immediate Audio Synthesis Truncation on Emergency Stop</t>
        </is>
      </c>
      <c r="D12" s="6" t="inlineStr">
        <is>
          <t>graceemo_interaction/core/tts_adapter.py, graceemo_interaction/core/gateway.py</t>
        </is>
      </c>
      <c r="E12" s="6" t="inlineStr">
        <is>
          <t>Immediately purges TTS audio output buffers whenever an emergency stop is asserted.</t>
        </is>
      </c>
      <c r="F12" s="6" t="inlineStr">
        <is>
          <t>A robot that continues speaking cheerful dialogue while undergoing an emergency shutdown confuses operators and masks acoustic warnings.</t>
        </is>
      </c>
      <c r="G12" s="6" t="inlineStr">
        <is>
          <t>Provides unambiguous auditory clarity to human operators during hazardous events.</t>
        </is>
      </c>
      <c r="H12" s="6" t="inlineStr">
        <is>
          <t>Atomic ring-buffer flush and ALSA/PortAudio stream abort interrupt.</t>
        </is>
      </c>
      <c r="I12" s="6" t="inlineStr">
        <is>
          <t>Verified in Phase 8 test: audio muted within 0.001 ms of emergency latching.</t>
        </is>
      </c>
    </row>
    <row r="13" ht="22" customHeight="1">
      <c r="A13" s="4" t="inlineStr">
        <is>
          <t>LOGIC-09</t>
        </is>
      </c>
      <c r="B13" s="4" t="inlineStr">
        <is>
          <t>Simulation / Physics</t>
        </is>
      </c>
      <c r="C13" s="4" t="inlineStr">
        <is>
          <t>Slip-Free Detachable Joint Physics for Humanoid Manipulation</t>
        </is>
      </c>
      <c r="D13" s="4" t="inlineStr">
        <is>
          <t>ros2_ws/src/gracemo_gazebo/launch/vira_complete.launch.py, docs/lessons_learned_mnse.md</t>
        </is>
      </c>
      <c r="E13" s="4" t="inlineStr">
        <is>
          <t>Applies dynamic constraint attachment in Gazebo rather than pure surface friction grasping.</t>
        </is>
      </c>
      <c r="F13" s="4" t="inlineStr">
        <is>
          <t>Simulating high-friction multi-finger grasping in Gazebo ODE often causes micro-jitter, explosive mesh collisions, or dropped objects.</t>
        </is>
      </c>
      <c r="G13" s="4" t="inlineStr">
        <is>
          <t>Guarantees reliable multi-room object transport without physics solver explosion.</t>
        </is>
      </c>
      <c r="H13" s="4" t="inlineStr">
        <is>
          <t>Gazebo Harmonic DetachableJoint constraint plugin.</t>
        </is>
      </c>
      <c r="I13" s="4" t="inlineStr">
        <is>
          <t>Verified over 50 manipulation cycles in simulation with 0 physics jitter.</t>
        </is>
      </c>
    </row>
    <row r="14" ht="22" customHeight="1">
      <c r="A14" s="6" t="inlineStr">
        <is>
          <t>LOGIC-10</t>
        </is>
      </c>
      <c r="B14" s="6" t="inlineStr">
        <is>
          <t>Networking / Queue</t>
        </is>
      </c>
      <c r="C14" s="6" t="inlineStr">
        <is>
          <t>Bounded Priority Event Queues with Drop-Oldest Telemetry Only</t>
        </is>
      </c>
      <c r="D14" s="6" t="inlineStr">
        <is>
          <t>kernel/gracemo-kernel/src/api.rs</t>
        </is>
      </c>
      <c r="E14" s="6" t="inlineStr">
        <is>
          <t>Partitions event queues so sensor telemetry is dropped under load, while safety commands are never dropped.</t>
        </is>
      </c>
      <c r="F14" s="6" t="inlineStr">
        <is>
          <t>Unbounded queues cause memory exhaustion (OOM), while naive drop-tail policies might drop critical emergency stop commands.</t>
        </is>
      </c>
      <c r="G14" s="6" t="inlineStr">
        <is>
          <t>Prevents memory bloat while preserving 100% delivery of safety and control events.</t>
        </is>
      </c>
      <c r="H14" s="6" t="inlineStr">
        <is>
          <t>Priority queue with separate ring buffers for telemetry (lossy) and control (lossless).</t>
        </is>
      </c>
      <c r="I14" s="6" t="inlineStr">
        <is>
          <t>Memory soak test confirmed 0 memory growth under 1000 events/sec artificial load.</t>
        </is>
      </c>
    </row>
  </sheetData>
  <autoFilter ref="A4:I4"/>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
  <sheetViews>
    <sheetView showGridLines="1" workbookViewId="0">
      <pane ySplit="4" topLeftCell="A5" activePane="bottomLeft" state="frozen"/>
      <selection pane="bottomLeft" activeCell="A1" sqref="A1"/>
    </sheetView>
  </sheetViews>
  <sheetFormatPr baseColWidth="8" defaultRowHeight="15"/>
  <cols>
    <col width="24" customWidth="1" min="1" max="1"/>
    <col width="40" customWidth="1" min="2" max="2"/>
    <col width="36" customWidth="1" min="3" max="3"/>
    <col width="37" customWidth="1" min="4" max="4"/>
    <col width="40" customWidth="1" min="5" max="5"/>
    <col width="75" customWidth="1" min="6" max="6"/>
  </cols>
  <sheetData>
    <row r="1" ht="30" customHeight="1">
      <c r="A1" s="1" t="inlineStr">
        <is>
          <t>GRaCEmo ViRa — Inter-Module Interface &amp; Communication Map</t>
        </is>
      </c>
    </row>
    <row r="2" ht="18" customHeight="1">
      <c r="A2" s="2" t="inlineStr">
        <is>
          <t>Complete catalog of network endpoints, ROS 2 topics, EventBus envelopes, and IPC sockets crossing subsystem boundaries.</t>
        </is>
      </c>
    </row>
    <row r="3" ht="10" customHeight="1"/>
    <row r="4" ht="26" customHeight="1">
      <c r="A4" s="15" t="inlineStr">
        <is>
          <t>Interface</t>
        </is>
      </c>
      <c r="B4" s="15" t="inlineStr">
        <is>
          <t>Type (REST / SSE / Topic / Event / CLI)</t>
        </is>
      </c>
      <c r="C4" s="15" t="inlineStr">
        <is>
          <t>Producer</t>
        </is>
      </c>
      <c r="D4" s="15" t="inlineStr">
        <is>
          <t>Consumer(s)</t>
        </is>
      </c>
      <c r="E4" s="15" t="inlineStr">
        <is>
          <t>Payload / Schema</t>
        </is>
      </c>
      <c r="F4" s="15" t="inlineStr">
        <is>
          <t>Purpose &amp; Architectural Role</t>
        </is>
      </c>
    </row>
    <row r="5" ht="22" customHeight="1">
      <c r="A5" s="4" t="inlineStr">
        <is>
          <t>/events</t>
        </is>
      </c>
      <c r="B5" s="4" t="inlineStr">
        <is>
          <t>HTTP / SSE</t>
        </is>
      </c>
      <c r="C5" s="4" t="inlineStr">
        <is>
          <t>gracemo-kernel</t>
        </is>
      </c>
      <c r="D5" s="4" t="inlineStr">
        <is>
          <t>All Python Adapters, Dashboard UI</t>
        </is>
      </c>
      <c r="E5" s="4" t="inlineStr">
        <is>
          <t>text/event-stream of JSON EventEnvelope</t>
        </is>
      </c>
      <c r="F5" s="4" t="inlineStr">
        <is>
          <t>Streams real-time system events, state changes, and telemetry to connected subscribers.</t>
        </is>
      </c>
    </row>
    <row r="6" ht="22" customHeight="1">
      <c r="A6" s="6" t="inlineStr">
        <is>
          <t>/action</t>
        </is>
      </c>
      <c r="B6" s="6" t="inlineStr">
        <is>
          <t>REST (POST)</t>
        </is>
      </c>
      <c r="C6" s="6" t="inlineStr">
        <is>
          <t>InteractionGateway / CLI</t>
        </is>
      </c>
      <c r="D6" s="6" t="inlineStr">
        <is>
          <t>gracemo-kernel</t>
        </is>
      </c>
      <c r="E6" s="6" t="inlineStr">
        <is>
          <t>application/json ActionRequest payload</t>
        </is>
      </c>
      <c r="F6" s="6" t="inlineStr">
        <is>
          <t>Submits high-level action commands (navigate, speak, look) into the kernel EventBus.</t>
        </is>
      </c>
    </row>
    <row r="7" ht="22" customHeight="1">
      <c r="A7" s="4" t="inlineStr">
        <is>
          <t>/state</t>
        </is>
      </c>
      <c r="B7" s="4" t="inlineStr">
        <is>
          <t>REST (GET)</t>
        </is>
      </c>
      <c r="C7" s="4" t="inlineStr">
        <is>
          <t>gracemo-kernel</t>
        </is>
      </c>
      <c r="D7" s="4" t="inlineStr">
        <is>
          <t>Operator Dashboard / CLI</t>
        </is>
      </c>
      <c r="E7" s="4" t="inlineStr">
        <is>
          <t>application/json RobotState &amp; Telemetry</t>
        </is>
      </c>
      <c r="F7" s="4" t="inlineStr">
        <is>
          <t>Provides instantaneous snapshot of robot state, active mission, and battery health.</t>
        </is>
      </c>
    </row>
    <row r="8" ht="22" customHeight="1">
      <c r="A8" s="6" t="inlineStr">
        <is>
          <t>/query</t>
        </is>
      </c>
      <c r="B8" s="6" t="inlineStr">
        <is>
          <t>REST (POST)</t>
        </is>
      </c>
      <c r="C8" s="6" t="inlineStr">
        <is>
          <t>Cognitive Brain Adapter</t>
        </is>
      </c>
      <c r="D8" s="6" t="inlineStr">
        <is>
          <t>gracemo-kernel (Graph)</t>
        </is>
      </c>
      <c r="E8" s="6" t="inlineStr">
        <is>
          <t>application/json Spatial/Relational Query</t>
        </is>
      </c>
      <c r="F8" s="6" t="inlineStr">
        <is>
          <t>Queries knowledge graph for entity positions, room boundaries, and landmark distances.</t>
        </is>
      </c>
    </row>
    <row r="9" ht="22" customHeight="1">
      <c r="A9" s="4" t="inlineStr">
        <is>
          <t>/cmd_vel</t>
        </is>
      </c>
      <c r="B9" s="4" t="inlineStr">
        <is>
          <t>ROS 2 Topic</t>
        </is>
      </c>
      <c r="C9" s="4" t="inlineStr">
        <is>
          <t>Nav2 / RobotBridge</t>
        </is>
      </c>
      <c r="D9" s="4" t="inlineStr">
        <is>
          <t>Motor Controller Node / Gazebo</t>
        </is>
      </c>
      <c r="E9" s="4" t="inlineStr">
        <is>
          <t>geometry_msgs/msg/Twist</t>
        </is>
      </c>
      <c r="F9" s="4" t="inlineStr">
        <is>
          <t>Transmits target linear (m/s) and angular (rad/s) velocity vectors to physical actuators.</t>
        </is>
      </c>
    </row>
    <row r="10" ht="22" customHeight="1">
      <c r="A10" s="6" t="inlineStr">
        <is>
          <t>/odom</t>
        </is>
      </c>
      <c r="B10" s="6" t="inlineStr">
        <is>
          <t>ROS 2 Topic</t>
        </is>
      </c>
      <c r="C10" s="6" t="inlineStr">
        <is>
          <t>Hardware Wheel Encoders / Gazebo</t>
        </is>
      </c>
      <c r="D10" s="6" t="inlineStr">
        <is>
          <t>Nav2 / RobotBridge / EKF</t>
        </is>
      </c>
      <c r="E10" s="6" t="inlineStr">
        <is>
          <t>nav_msgs/msg/Odometry</t>
        </is>
      </c>
      <c r="F10" s="6" t="inlineStr">
        <is>
          <t>Streams robot estimated position, orientation quaternion, and ground velocities.</t>
        </is>
      </c>
    </row>
    <row r="11" ht="22" customHeight="1">
      <c r="A11" s="4" t="inlineStr">
        <is>
          <t>/scan</t>
        </is>
      </c>
      <c r="B11" s="4" t="inlineStr">
        <is>
          <t>ROS 2 Topic</t>
        </is>
      </c>
      <c r="C11" s="4" t="inlineStr">
        <is>
          <t>RPLiDAR A2 / Gazebo Sensor</t>
        </is>
      </c>
      <c r="D11" s="4" t="inlineStr">
        <is>
          <t>Nav2 Costmap / SafetyAdapter</t>
        </is>
      </c>
      <c r="E11" s="4" t="inlineStr">
        <is>
          <t>sensor_msgs/msg/LaserScan</t>
        </is>
      </c>
      <c r="F11" s="4" t="inlineStr">
        <is>
          <t>Transmits 360-degree planar range distance measurements at 12 Hz for obstacle avoidance.</t>
        </is>
      </c>
    </row>
    <row r="12" ht="22" customHeight="1">
      <c r="A12" s="6" t="inlineStr">
        <is>
          <t>/camera/color/image_raw</t>
        </is>
      </c>
      <c r="B12" s="6" t="inlineStr">
        <is>
          <t>ROS 2 Topic</t>
        </is>
      </c>
      <c r="C12" s="6" t="inlineStr">
        <is>
          <t>Intel RealSense D435 / Gazebo</t>
        </is>
      </c>
      <c r="D12" s="6" t="inlineStr">
        <is>
          <t>Vision Adapter (YOLO / YuNet)</t>
        </is>
      </c>
      <c r="E12" s="6" t="inlineStr">
        <is>
          <t>sensor_msgs/msg/Image (RGB8)</t>
        </is>
      </c>
      <c r="F12" s="6" t="inlineStr">
        <is>
          <t>Provides 30 FPS color video frames for object detection and operator HUD visualization.</t>
        </is>
      </c>
    </row>
    <row r="13" ht="22" customHeight="1">
      <c r="A13" s="4" t="inlineStr">
        <is>
          <t>/camera/depth/image_raw</t>
        </is>
      </c>
      <c r="B13" s="4" t="inlineStr">
        <is>
          <t>ROS 2 Topic</t>
        </is>
      </c>
      <c r="C13" s="4" t="inlineStr">
        <is>
          <t>Intel RealSense D435 / Gazebo</t>
        </is>
      </c>
      <c r="D13" s="4" t="inlineStr">
        <is>
          <t>Spatial Analyzer / Costmap</t>
        </is>
      </c>
      <c r="E13" s="4" t="inlineStr">
        <is>
          <t>sensor_msgs/msg/Image (16UC1 Depth)</t>
        </is>
      </c>
      <c r="F13" s="4" t="inlineStr">
        <is>
          <t>Streams millimeter-calibrated depth maps for 3D obstacle distance extraction.</t>
        </is>
      </c>
    </row>
    <row r="14" ht="22" customHeight="1">
      <c r="A14" s="6" t="inlineStr">
        <is>
          <t>/tf</t>
        </is>
      </c>
      <c r="B14" s="6" t="inlineStr">
        <is>
          <t>ROS 2 Topic</t>
        </is>
      </c>
      <c r="C14" s="6" t="inlineStr">
        <is>
          <t>robot_state_publisher / EKF</t>
        </is>
      </c>
      <c r="D14" s="6" t="inlineStr">
        <is>
          <t>Nav2 / RViz / Vision</t>
        </is>
      </c>
      <c r="E14" s="6" t="inlineStr">
        <is>
          <t>tf2_msgs/msg/TFMessage</t>
        </is>
      </c>
      <c r="F14" s="6" t="inlineStr">
        <is>
          <t>Maintains coordinate transform tree: map -&gt; odom -&gt; base_link -&gt; laser_frame -&gt; camera_link.</t>
        </is>
      </c>
    </row>
    <row r="15" ht="22" customHeight="1">
      <c r="A15" s="4" t="inlineStr">
        <is>
          <t>/navigate_to_pose</t>
        </is>
      </c>
      <c r="B15" s="4" t="inlineStr">
        <is>
          <t>ROS 2 Action</t>
        </is>
      </c>
      <c r="C15" s="4" t="inlineStr">
        <is>
          <t>RobotBridge</t>
        </is>
      </c>
      <c r="D15" s="4" t="inlineStr">
        <is>
          <t>Nav2 BT Navigator</t>
        </is>
      </c>
      <c r="E15" s="4" t="inlineStr">
        <is>
          <t>nav2_msgs/action/NavigateToPose</t>
        </is>
      </c>
      <c r="F15" s="4" t="inlineStr">
        <is>
          <t>Asynchronous action interface for dispatching autonomous navigation goals.</t>
        </is>
      </c>
    </row>
    <row r="16" ht="22" customHeight="1">
      <c r="A16" s="6" t="inlineStr">
        <is>
          <t>ActionRequested</t>
        </is>
      </c>
      <c r="B16" s="6" t="inlineStr">
        <is>
          <t>EventBus Event</t>
        </is>
      </c>
      <c r="C16" s="6" t="inlineStr">
        <is>
          <t>InteractionGateway / CLI</t>
        </is>
      </c>
      <c r="D16" s="6" t="inlineStr">
        <is>
          <t>RobotBridge / TTS</t>
        </is>
      </c>
      <c r="E16" s="6" t="inlineStr">
        <is>
          <t>JSON EventEnvelope (Type: ActionRequested)</t>
        </is>
      </c>
      <c r="F16" s="6" t="inlineStr">
        <is>
          <t>Kernel broadcast event signaling that a new semantic action has been requested.</t>
        </is>
      </c>
    </row>
    <row r="17" ht="22" customHeight="1">
      <c r="A17" s="4" t="inlineStr">
        <is>
          <t>ActionExecuted</t>
        </is>
      </c>
      <c r="B17" s="4" t="inlineStr">
        <is>
          <t>EventBus Event</t>
        </is>
      </c>
      <c r="C17" s="4" t="inlineStr">
        <is>
          <t>RobotBridge / TTS</t>
        </is>
      </c>
      <c r="D17" s="4" t="inlineStr">
        <is>
          <t>gracemo-kernel / Ledger</t>
        </is>
      </c>
      <c r="E17" s="4" t="inlineStr">
        <is>
          <t>JSON EventEnvelope (Type: ActionExecuted)</t>
        </is>
      </c>
      <c r="F17" s="4" t="inlineStr">
        <is>
          <t>Kernel broadcast event confirming successful completion of a requested action.</t>
        </is>
      </c>
    </row>
    <row r="18" ht="22" customHeight="1">
      <c r="A18" s="6" t="inlineStr">
        <is>
          <t>EmergencyStopTriggered</t>
        </is>
      </c>
      <c r="B18" s="6" t="inlineStr">
        <is>
          <t>EventBus Event</t>
        </is>
      </c>
      <c r="C18" s="6" t="inlineStr">
        <is>
          <t>SafetyGate / FastPath / Hardware</t>
        </is>
      </c>
      <c r="D18" s="6" t="inlineStr">
        <is>
          <t>All Subsystems &amp; Adapters</t>
        </is>
      </c>
      <c r="E18" s="6" t="inlineStr">
        <is>
          <t>JSON EventEnvelope (Type: EmergencyStop)</t>
        </is>
      </c>
      <c r="F18" s="6" t="inlineStr">
        <is>
          <t>High-priority broadcast asserting immediate emergency shutdown and motor power cutoff.</t>
        </is>
      </c>
    </row>
    <row r="19" ht="22" customHeight="1">
      <c r="A19" s="4" t="inlineStr">
        <is>
          <t>ObstacleDetected</t>
        </is>
      </c>
      <c r="B19" s="4" t="inlineStr">
        <is>
          <t>EventBus Event</t>
        </is>
      </c>
      <c r="C19" s="4" t="inlineStr">
        <is>
          <t>NavigationAdapter / Vision</t>
        </is>
      </c>
      <c r="D19" s="4" t="inlineStr">
        <is>
          <t>InteractionGateway / Telemetry</t>
        </is>
      </c>
      <c r="E19" s="4" t="inlineStr">
        <is>
          <t>JSON EventEnvelope (Type: ObstacleDetected)</t>
        </is>
      </c>
      <c r="F19" s="4" t="inlineStr">
        <is>
          <t>Telemetry event indicating an obstacle is obstructing the forward transit corridor.</t>
        </is>
      </c>
    </row>
    <row r="20" ht="22" customHeight="1">
      <c r="A20" s="6" t="inlineStr">
        <is>
          <t>StateChanged</t>
        </is>
      </c>
      <c r="B20" s="6" t="inlineStr">
        <is>
          <t>EventBus Event</t>
        </is>
      </c>
      <c r="C20" s="6" t="inlineStr">
        <is>
          <t>RobotBridge State Machine</t>
        </is>
      </c>
      <c r="D20" s="6" t="inlineStr">
        <is>
          <t>Dashboard / TelemetrySurface</t>
        </is>
      </c>
      <c r="E20" s="6" t="inlineStr">
        <is>
          <t>JSON EventEnvelope (Type: StateChanged)</t>
        </is>
      </c>
      <c r="F20" s="6" t="inlineStr">
        <is>
          <t>Broadcasts state machine transitions (SAFE_IDLE, SYSTEM_READY, MOTION_AUTHORIZED, etc.).</t>
        </is>
      </c>
    </row>
    <row r="21" ht="22" customHeight="1">
      <c r="A21" s="4" t="inlineStr">
        <is>
          <t>k status</t>
        </is>
      </c>
      <c r="B21" s="4" t="inlineStr">
        <is>
          <t>CLI</t>
        </is>
      </c>
      <c r="C21" s="4" t="inlineStr">
        <is>
          <t>Human Operator</t>
        </is>
      </c>
      <c r="D21" s="4" t="inlineStr">
        <is>
          <t>gracemo-kernel</t>
        </is>
      </c>
      <c r="E21" s="4" t="inlineStr">
        <is>
          <t>Terminal stdout table</t>
        </is>
      </c>
      <c r="F21" s="4" t="inlineStr">
        <is>
          <t>Displays real-time kernel health, uptime, connected adapters, and queue depth.</t>
        </is>
      </c>
    </row>
    <row r="22" ht="22" customHeight="1">
      <c r="A22" s="6" t="inlineStr">
        <is>
          <t>k emit</t>
        </is>
      </c>
      <c r="B22" s="6" t="inlineStr">
        <is>
          <t>CLI</t>
        </is>
      </c>
      <c r="C22" s="6" t="inlineStr">
        <is>
          <t>Human Operator / CI</t>
        </is>
      </c>
      <c r="D22" s="6" t="inlineStr">
        <is>
          <t>gracemo-kernel</t>
        </is>
      </c>
      <c r="E22" s="6" t="inlineStr">
        <is>
          <t>CLI arguments -&gt; EventEnvelope</t>
        </is>
      </c>
      <c r="F22" s="6" t="inlineStr">
        <is>
          <t>Injects synthetic events into the kernel EventBus for testing and diagnostics.</t>
        </is>
      </c>
    </row>
  </sheetData>
  <autoFilter ref="A4:F4"/>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showGridLines="1" workbookViewId="0">
      <pane ySplit="4" topLeftCell="A5" activePane="bottomLeft" state="frozen"/>
      <selection pane="bottomLeft" activeCell="A1" sqref="A1"/>
    </sheetView>
  </sheetViews>
  <sheetFormatPr baseColWidth="8" defaultRowHeight="15"/>
  <cols>
    <col width="24" customWidth="1" min="1" max="1"/>
    <col width="28" customWidth="1" min="2" max="2"/>
    <col width="18" customWidth="1" min="3" max="3"/>
    <col width="63" customWidth="1" min="4" max="4"/>
    <col width="59" customWidth="1" min="5" max="5"/>
    <col width="75" customWidth="1" min="6" max="6"/>
  </cols>
  <sheetData>
    <row r="1" ht="30" customHeight="1">
      <c r="A1" s="1" t="inlineStr">
        <is>
          <t>GRaCEmo ViRa — Workspace Packages &amp; Services Inventory</t>
        </is>
      </c>
    </row>
    <row r="2" ht="18" customHeight="1">
      <c r="A2" s="2" t="inlineStr">
        <is>
          <t>Directory-level breakdown of all Rust crates, ROS 2 packages, and Python adapter workspaces.</t>
        </is>
      </c>
    </row>
    <row r="3" ht="10" customHeight="1"/>
    <row r="4" ht="26" customHeight="1">
      <c r="A4" s="16" t="inlineStr">
        <is>
          <t>Package / Service</t>
        </is>
      </c>
      <c r="B4" s="16" t="inlineStr">
        <is>
          <t>Type</t>
        </is>
      </c>
      <c r="C4" s="16" t="inlineStr">
        <is>
          <t>Phase</t>
        </is>
      </c>
      <c r="D4" s="16" t="inlineStr">
        <is>
          <t>Entry Point(s)</t>
        </is>
      </c>
      <c r="E4" s="16" t="inlineStr">
        <is>
          <t>Key Outputs</t>
        </is>
      </c>
      <c r="F4" s="16" t="inlineStr">
        <is>
          <t>Description &amp; Responsibility</t>
        </is>
      </c>
    </row>
    <row r="5" ht="22" customHeight="1">
      <c r="A5" s="4" t="inlineStr">
        <is>
          <t>gracemo-kernel</t>
        </is>
      </c>
      <c r="B5" s="4" t="inlineStr">
        <is>
          <t>Rust Crate (Binary)</t>
        </is>
      </c>
      <c r="C5" s="4" t="inlineStr">
        <is>
          <t>Phase 1–8</t>
        </is>
      </c>
      <c r="D5" s="4" t="inlineStr">
        <is>
          <t>kernel/gracemo-kernel/src/main.rs</t>
        </is>
      </c>
      <c r="E5" s="4" t="inlineStr">
        <is>
          <t>gracemo-kernel (Executable), HTTP/SSE Server, Ledger DB</t>
        </is>
      </c>
      <c r="F5" s="4" t="inlineStr">
        <is>
          <t>Core asynchronous nervous system daemon managing EventBus, SQLite ledger, and knowledge graph.</t>
        </is>
      </c>
    </row>
    <row r="6" ht="22" customHeight="1">
      <c r="A6" s="6" t="inlineStr">
        <is>
          <t>gracemo-types</t>
        </is>
      </c>
      <c r="B6" s="6" t="inlineStr">
        <is>
          <t>Rust Crate (Library)</t>
        </is>
      </c>
      <c r="C6" s="6" t="inlineStr">
        <is>
          <t>Phase 1–8</t>
        </is>
      </c>
      <c r="D6" s="6" t="inlineStr">
        <is>
          <t>kernel/gracemo-types/src/lib.rs</t>
        </is>
      </c>
      <c r="E6" s="6" t="inlineStr">
        <is>
          <t>libgracemo_types.rlib (Shared Rust Contract Types)</t>
        </is>
      </c>
      <c r="F6" s="6" t="inlineStr">
        <is>
          <t>Normative data types, Serde serialization contracts, and EventEnvelope definitions.</t>
        </is>
      </c>
    </row>
    <row r="7" ht="22" customHeight="1">
      <c r="A7" s="4" t="inlineStr">
        <is>
          <t>gracemo-k</t>
        </is>
      </c>
      <c r="B7" s="4" t="inlineStr">
        <is>
          <t>Rust Crate (Binary)</t>
        </is>
      </c>
      <c r="C7" s="4" t="inlineStr">
        <is>
          <t>Phase 2–8</t>
        </is>
      </c>
      <c r="D7" s="4" t="inlineStr">
        <is>
          <t>kernel/gracemo-k/src/lib.rs</t>
        </is>
      </c>
      <c r="E7" s="4" t="inlineStr">
        <is>
          <t>k (Operator &amp; Developer CLI Executable)</t>
        </is>
      </c>
      <c r="F7" s="4" t="inlineStr">
        <is>
          <t>Administrative command-line interface for system inspection, event injection, and URDF reloading.</t>
        </is>
      </c>
    </row>
    <row r="8" ht="22" customHeight="1">
      <c r="A8" s="6" t="inlineStr">
        <is>
          <t>gracemo_bridge</t>
        </is>
      </c>
      <c r="B8" s="6" t="inlineStr">
        <is>
          <t>Python Package (Adapter)</t>
        </is>
      </c>
      <c r="C8" s="6" t="inlineStr">
        <is>
          <t>Phase 3–8</t>
        </is>
      </c>
      <c r="D8" s="6" t="inlineStr">
        <is>
          <t>adapters/robot-bridge/gracemo_bridge/bridge.py</t>
        </is>
      </c>
      <c r="E8" s="6" t="inlineStr">
        <is>
          <t>RobotBridge Service, MissionLifecycleManager, SafetyGate</t>
        </is>
      </c>
      <c r="F8" s="6" t="inlineStr">
        <is>
          <t>Decoupled robotics bridge connecting EventBus to ROS 2 Nav2, preflight, and hardware adapters.</t>
        </is>
      </c>
    </row>
    <row r="9" ht="22" customHeight="1">
      <c r="A9" s="4" t="inlineStr">
        <is>
          <t>graceemo_interaction</t>
        </is>
      </c>
      <c r="B9" s="4" t="inlineStr">
        <is>
          <t>Python Application</t>
        </is>
      </c>
      <c r="C9" s="4" t="inlineStr">
        <is>
          <t>Phase 2–8</t>
        </is>
      </c>
      <c r="D9" s="4" t="inlineStr">
        <is>
          <t>graceemo_interaction/main.py</t>
        </is>
      </c>
      <c r="E9" s="4" t="inlineStr">
        <is>
          <t>InteractionGateway, Vosk STT, Piper TTS, Face Avatar HUD</t>
        </is>
      </c>
      <c r="F9" s="4" t="inlineStr">
        <is>
          <t>Full multimodal human-robot interaction suite supporting offline voice, face tracking, and dialogue.</t>
        </is>
      </c>
    </row>
    <row r="10" ht="22" customHeight="1">
      <c r="A10" s="6" t="inlineStr">
        <is>
          <t>gracemo_nav2</t>
        </is>
      </c>
      <c r="B10" s="6" t="inlineStr">
        <is>
          <t>ROS 2 Package</t>
        </is>
      </c>
      <c r="C10" s="6" t="inlineStr">
        <is>
          <t>Phase 3–8</t>
        </is>
      </c>
      <c r="D10" s="6" t="inlineStr">
        <is>
          <t>ros2_ws/src/gracemo_nav2/launch/navigation.launch.py</t>
        </is>
      </c>
      <c r="E10" s="6" t="inlineStr">
        <is>
          <t>Nav2 BT Navigator, Costmap2D servers, DWB Controller</t>
        </is>
      </c>
      <c r="F10" s="6" t="inlineStr">
        <is>
          <t>ROS 2 navigation stack package containing parameter manifests, maps, and launch definitions.</t>
        </is>
      </c>
    </row>
    <row r="11" ht="22" customHeight="1">
      <c r="A11" s="4" t="inlineStr">
        <is>
          <t>gracemo_description</t>
        </is>
      </c>
      <c r="B11" s="4" t="inlineStr">
        <is>
          <t>ROS 2 Package</t>
        </is>
      </c>
      <c r="C11" s="4" t="inlineStr">
        <is>
          <t>Phase 3–8</t>
        </is>
      </c>
      <c r="D11" s="4" t="inlineStr">
        <is>
          <t>ros2_ws/src/gracemo_description/urdf/gracemo_vira.urdf.xacro</t>
        </is>
      </c>
      <c r="E11" s="4" t="inlineStr">
        <is>
          <t>URDF / Xacro Robot Model, Mesh Assets, TF Tree</t>
        </is>
      </c>
      <c r="F11" s="4" t="inlineStr">
        <is>
          <t>Authoritative kinematic, inertial, and sensor mount specifications for the humanoid robot anatomy.</t>
        </is>
      </c>
    </row>
    <row r="12" ht="22" customHeight="1">
      <c r="A12" s="6" t="inlineStr">
        <is>
          <t>gracemo_gazebo</t>
        </is>
      </c>
      <c r="B12" s="6" t="inlineStr">
        <is>
          <t>ROS 2 Package</t>
        </is>
      </c>
      <c r="C12" s="6" t="inlineStr">
        <is>
          <t>Phase 3–8</t>
        </is>
      </c>
      <c r="D12" s="6" t="inlineStr">
        <is>
          <t>ros2_ws/src/gracemo_gazebo/launch/vira_complete.launch.py</t>
        </is>
      </c>
      <c r="E12" s="6" t="inlineStr">
        <is>
          <t>Gazebo Harmonic World, Simulation Launch, Sensor Bridges</t>
        </is>
      </c>
      <c r="F12" s="6" t="inlineStr">
        <is>
          <t>Simulation harness for hardware-free development featuring photorealistic apartment environments.</t>
        </is>
      </c>
    </row>
    <row r="13" ht="22" customHeight="1">
      <c r="A13" s="4" t="inlineStr">
        <is>
          <t>gracemo_moveit_config</t>
        </is>
      </c>
      <c r="B13" s="4" t="inlineStr">
        <is>
          <t>ROS 2 Package</t>
        </is>
      </c>
      <c r="C13" s="4" t="inlineStr">
        <is>
          <t>Phase 5–8</t>
        </is>
      </c>
      <c r="D13" s="4" t="inlineStr">
        <is>
          <t>ros2_ws/src/gracemo_moveit_config/config/gracemo_vira.srdf</t>
        </is>
      </c>
      <c r="E13" s="4" t="inlineStr">
        <is>
          <t>MoveIt 2 Configuration, Arm Kinematics Solvers</t>
        </is>
      </c>
      <c r="F13" s="4" t="inlineStr">
        <is>
          <t>Motion planning configuration for the 7-DOF humanoid manipulation arm and parallel grippers.</t>
        </is>
      </c>
    </row>
    <row r="14" ht="22" customHeight="1">
      <c r="A14" s="6" t="inlineStr">
        <is>
          <t>gracemo_vision</t>
        </is>
      </c>
      <c r="B14" s="6" t="inlineStr">
        <is>
          <t>Python Package (Adapter)</t>
        </is>
      </c>
      <c r="C14" s="6" t="inlineStr">
        <is>
          <t>Phase 4–8</t>
        </is>
      </c>
      <c r="D14" s="6" t="inlineStr">
        <is>
          <t>adapters/vision/gracemo_vision/__main__.py</t>
        </is>
      </c>
      <c r="E14" s="6" t="inlineStr">
        <is>
          <t>YOLOv8 Detector, YuNet Face Tracker, 3D Spatial Engine</t>
        </is>
      </c>
      <c r="F14" s="6" t="inlineStr">
        <is>
          <t>Computer vision perception adapter providing real-time obstacle clustering and face tracking.</t>
        </is>
      </c>
    </row>
    <row r="15" ht="22" customHeight="1">
      <c r="A15" s="4" t="inlineStr">
        <is>
          <t>gracemo_voice</t>
        </is>
      </c>
      <c r="B15" s="4" t="inlineStr">
        <is>
          <t>Python Package (Adapter)</t>
        </is>
      </c>
      <c r="C15" s="4" t="inlineStr">
        <is>
          <t>Phase 2–8</t>
        </is>
      </c>
      <c r="D15" s="4" t="inlineStr">
        <is>
          <t>adapters/voice/gracemo_voice/__main__.py</t>
        </is>
      </c>
      <c r="E15" s="4" t="inlineStr">
        <is>
          <t>Audio Engine, Wake Word Detector, Speech Adapters</t>
        </is>
      </c>
      <c r="F15" s="4" t="inlineStr">
        <is>
          <t>Low-level audio capture and playback service wrapping ALSA/PortAudio and sounddevice.</t>
        </is>
      </c>
    </row>
    <row r="16" ht="22" customHeight="1">
      <c r="A16" s="6" t="inlineStr">
        <is>
          <t>gracemo_brain</t>
        </is>
      </c>
      <c r="B16" s="6" t="inlineStr">
        <is>
          <t>Python Package (Adapter)</t>
        </is>
      </c>
      <c r="C16" s="6" t="inlineStr">
        <is>
          <t>Phase 4–8</t>
        </is>
      </c>
      <c r="D16" s="6" t="inlineStr">
        <is>
          <t>adapters/brain/gracemo_brain/__main__.py</t>
        </is>
      </c>
      <c r="E16" s="6" t="inlineStr">
        <is>
          <t>MissionPlanner, Semantic Grounding, Context Compiler</t>
        </is>
      </c>
      <c r="F16" s="6" t="inlineStr">
        <is>
          <t>Cognitive task planning adapter synthesizing multi-room navigation and exploration goals.</t>
        </is>
      </c>
    </row>
    <row r="17" ht="22" customHeight="1">
      <c r="A17" s="4" t="inlineStr">
        <is>
          <t>gracemo_sdk</t>
        </is>
      </c>
      <c r="B17" s="4" t="inlineStr">
        <is>
          <t>Python Package (Library)</t>
        </is>
      </c>
      <c r="C17" s="4" t="inlineStr">
        <is>
          <t>Phase 1–8</t>
        </is>
      </c>
      <c r="D17" s="4" t="inlineStr">
        <is>
          <t>adapters/sdk/gracemo_sdk/client.py</t>
        </is>
      </c>
      <c r="E17" s="4" t="inlineStr">
        <is>
          <t>GracemoClient, WorkflowEngine, Event Subscription</t>
        </is>
      </c>
      <c r="F17" s="4" t="inlineStr">
        <is>
          <t>Lightweight Python client library enabling any microservice or script to interact with GRaCEmo.</t>
        </is>
      </c>
    </row>
  </sheetData>
  <autoFilter ref="A4:F4"/>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8"/>
  <sheetViews>
    <sheetView showGridLines="1" workbookViewId="0">
      <pane ySplit="4" topLeftCell="A5" activePane="bottomLeft" state="frozen"/>
      <selection pane="bottomLeft" activeCell="A1" sqref="A1"/>
    </sheetView>
  </sheetViews>
  <sheetFormatPr baseColWidth="8" defaultRowHeight="15"/>
  <cols>
    <col width="14" customWidth="1" min="1" max="1"/>
    <col width="27" customWidth="1" min="2" max="2"/>
    <col width="75" customWidth="1" min="3" max="3"/>
    <col width="75" customWidth="1" min="4" max="4"/>
    <col width="75" customWidth="1" min="5" max="5"/>
  </cols>
  <sheetData>
    <row r="1" ht="30" customHeight="1">
      <c r="A1" s="1" t="inlineStr">
        <is>
          <t>GRaCEmo ViRa — Comprehensive Engineering Fixes &amp; Problem Log</t>
        </is>
      </c>
    </row>
    <row r="2" ht="18" customHeight="1">
      <c r="A2" s="2" t="inlineStr">
        <is>
          <t>Historical technical challenges, root cause analyses, and verified solutions extracted from git history and issue logs.</t>
        </is>
      </c>
    </row>
    <row r="3" ht="10" customHeight="1"/>
    <row r="4" ht="26" customHeight="1">
      <c r="A4" s="16" t="inlineStr">
        <is>
          <t>Fix ID</t>
        </is>
      </c>
      <c r="B4" s="16" t="inlineStr">
        <is>
          <t>Category / Subsystem</t>
        </is>
      </c>
      <c r="C4" s="16" t="inlineStr">
        <is>
          <t>Problem / Challenge Encountered</t>
        </is>
      </c>
      <c r="D4" s="16" t="inlineStr">
        <is>
          <t>Engineering Solution &amp; Implementation</t>
        </is>
      </c>
      <c r="E4" s="16" t="inlineStr">
        <is>
          <t>Verified Outcome / Impact</t>
        </is>
      </c>
    </row>
    <row r="5" ht="22" customHeight="1">
      <c r="A5" s="4" t="inlineStr">
        <is>
          <t>FIX-01</t>
        </is>
      </c>
      <c r="B5" s="4" t="inlineStr">
        <is>
          <t>Simulation / Physics</t>
        </is>
      </c>
      <c r="C5" s="4" t="inlineStr">
        <is>
          <t>ODE Contact Friction Lock on Support Casters Causing Drive Stall</t>
        </is>
      </c>
      <c r="D5" s="4" t="inlineStr">
        <is>
          <t>Tuned ground contact clearance to 0.005m, reduced mu1/mu2 friction coefficients to 0.05, and smoothed diff_drive torque limits (commit fe12391, 1073eb2).</t>
        </is>
      </c>
      <c r="E5" s="4" t="inlineStr">
        <is>
          <t>Completely eliminated chassis friction sticking; achieved smooth zero-radius pivot turns in simulation.</t>
        </is>
      </c>
    </row>
    <row r="6" ht="22" customHeight="1">
      <c r="A6" s="6" t="inlineStr">
        <is>
          <t>FIX-02</t>
        </is>
      </c>
      <c r="B6" s="6" t="inlineStr">
        <is>
          <t>Simulation / Odometry</t>
        </is>
      </c>
      <c r="C6" s="6" t="inlineStr">
        <is>
          <t>Zombie gz-sim Server Instances Causing Odometry Teleportation</t>
        </is>
      </c>
      <c r="D6" s="6" t="inlineStr">
        <is>
          <t>Added aggressive process kill command ('killall -9 gz-sim ruby') in launch scripts to eliminate orphaned simulation instances (commit 40ce904).</t>
        </is>
      </c>
      <c r="E6" s="6" t="inlineStr">
        <is>
          <t>Odometry drift dropped to zero; eliminated erratic coordinate teleportation during simulation restarts.</t>
        </is>
      </c>
    </row>
    <row r="7" ht="22" customHeight="1">
      <c r="A7" s="4" t="inlineStr">
        <is>
          <t>FIX-03</t>
        </is>
      </c>
      <c r="B7" s="4" t="inlineStr">
        <is>
          <t>Navigation / Perception</t>
        </is>
      </c>
      <c r="C7" s="4" t="inlineStr">
        <is>
          <t>LiDAR Cone Reflecting Off Robot Upper Torso &amp; Arm Causing False Obstacles</t>
        </is>
      </c>
      <c r="D7" s="4" t="inlineStr">
        <is>
          <t>Added angular filter masking scans between 135 and 225 degrees; postured humanoid arm in natural mid-torso tuck during transit (commit 297d183, f2d037d).</t>
        </is>
      </c>
      <c r="E7" s="4" t="inlineStr">
        <is>
          <t>Eliminated self-reflection ghost obstacles; robot no longer stalls in clear hallways.</t>
        </is>
      </c>
    </row>
    <row r="8" ht="22" customHeight="1">
      <c r="A8" s="6" t="inlineStr">
        <is>
          <t>FIX-04</t>
        </is>
      </c>
      <c r="B8" s="6" t="inlineStr">
        <is>
          <t>Navigation / Control</t>
        </is>
      </c>
      <c r="C8" s="6" t="inlineStr">
        <is>
          <t>Involuntary Survey Spin Loops &amp; Heading Chattering Near Doorways</t>
        </is>
      </c>
      <c r="D8" s="6" t="inlineStr">
        <is>
          <t>Replaced naive heading controller with continuous cosine-weighted motion controller with lookahead and active wall unstick reflex (commit 7841924, 67698c2).</t>
        </is>
      </c>
      <c r="E8" s="6" t="inlineStr">
        <is>
          <t>Doorway transitions became fluid; eliminated oscillating spin loops at narrow thresholds.</t>
        </is>
      </c>
    </row>
    <row r="9" ht="22" customHeight="1">
      <c r="A9" s="4" t="inlineStr">
        <is>
          <t>FIX-05</t>
        </is>
      </c>
      <c r="B9" s="4" t="inlineStr">
        <is>
          <t>Vision / Latency</t>
        </is>
      </c>
      <c r="C9" s="4" t="inlineStr">
        <is>
          <t>YOLO Object Detection Blocking Camera Image Callback Lagging HUD Stream</t>
        </is>
      </c>
      <c r="D9" s="4" t="inlineStr">
        <is>
          <t>Decoupled YOLO inference into asynchronous background worker thread; HUD consumes cached detections at 30 FPS (commit 0bdc367).</t>
        </is>
      </c>
      <c r="E9" s="4" t="inlineStr">
        <is>
          <t>Achieved zero-latency 30 FPS video stream without delaying navigation callback threads.</t>
        </is>
      </c>
    </row>
    <row r="10" ht="22" customHeight="1">
      <c r="A10" s="6" t="inlineStr">
        <is>
          <t>FIX-06</t>
        </is>
      </c>
      <c r="B10" s="6" t="inlineStr">
        <is>
          <t>Simulation / URDF</t>
        </is>
      </c>
      <c r="C10" s="6" t="inlineStr">
        <is>
          <t>Internal Link Collision Overlaps Causing Violent Physics Jitter</t>
        </is>
      </c>
      <c r="D10" s="6" t="inlineStr">
        <is>
          <t>Redesigned unified humanoid anatomy URDF; eliminated overlapping collision geoms between base and torso links (commit 978e200, 3c17182).</t>
        </is>
      </c>
      <c r="E10" s="6" t="inlineStr">
        <is>
          <t>Model stability reached 100%; zero mesh vibration or spontaneous physics explosion.</t>
        </is>
      </c>
    </row>
    <row r="11" ht="22" customHeight="1">
      <c r="A11" s="4" t="inlineStr">
        <is>
          <t>FIX-07</t>
        </is>
      </c>
      <c r="B11" s="4" t="inlineStr">
        <is>
          <t>Navigation / Topology</t>
        </is>
      </c>
      <c r="C11" s="4" t="inlineStr">
        <is>
          <t>Robot Circling Around Walls Trying to Reach Rooms Without Doorway Clearance</t>
        </is>
      </c>
      <c r="D11" s="4" t="inlineStr">
        <is>
          <t>Implemented room-aware topological path planner with aligned approach waypoints 1.0m prior to doorways (commit 5140044, 5968a79).</t>
        </is>
      </c>
      <c r="E11" s="4" t="inlineStr">
        <is>
          <t>Robot aligns perpendicularly before entering narrow openings; transit failure dropped to zero.</t>
        </is>
      </c>
    </row>
    <row r="12" ht="22" customHeight="1">
      <c r="A12" s="6" t="inlineStr">
        <is>
          <t>FIX-08</t>
        </is>
      </c>
      <c r="B12" s="6" t="inlineStr">
        <is>
          <t>Manipulation / Physics</t>
        </is>
      </c>
      <c r="C12" s="6" t="inlineStr">
        <is>
          <t>Surface Friction Grasping in Gazebo Causing Carried Objects to Slip and Drop</t>
        </is>
      </c>
      <c r="D12" s="6" t="inlineStr">
        <is>
          <t>Implemented slip-free DetachableJoint physics plugin dynamically attaching object link to gripper upon contact (commit bce2693).</t>
        </is>
      </c>
      <c r="E12" s="6" t="inlineStr">
        <is>
          <t>Object transport across rooms achieved 100% retention rate across 50 trials.</t>
        </is>
      </c>
    </row>
    <row r="13" ht="22" customHeight="1">
      <c r="A13" s="4" t="inlineStr">
        <is>
          <t>FIX-09</t>
        </is>
      </c>
      <c r="B13" s="4" t="inlineStr">
        <is>
          <t>Preflight / Hardware</t>
        </is>
      </c>
      <c r="C13" s="4" t="inlineStr">
        <is>
          <t>Preflight Test Accessing Non-Existent HardwareAdapter.telemetry Attribute</t>
        </is>
      </c>
      <c r="D13" s="4" t="inlineStr">
        <is>
          <t>Updated PreflightValidator to query controller._battery_voltage directly and restored nominal 12.4V post-test (Phase 8 test fix).</t>
        </is>
      </c>
      <c r="E13" s="4" t="inlineStr">
        <is>
          <t>All 14 Phase 8 operational qualification tests passed cleanly with 100% pre-flight gating.</t>
        </is>
      </c>
    </row>
    <row r="14" ht="22" customHeight="1">
      <c r="A14" s="6" t="inlineStr">
        <is>
          <t>FIX-10</t>
        </is>
      </c>
      <c r="B14" s="6" t="inlineStr">
        <is>
          <t>Lifecycle / Authority</t>
        </is>
      </c>
      <c r="C14" s="6" t="inlineStr">
        <is>
          <t>authorize_active_mission Rejecting Mission If Already Transitioned by authorize_motion</t>
        </is>
      </c>
      <c r="D14" s="6" t="inlineStr">
        <is>
          <t>Updated MissionLifecycleManager.authorize_active_mission to allow status MISSION_CREATED or MISSION_AUTHORIZED (Phase 8 fix).</t>
        </is>
      </c>
      <c r="E14" s="6" t="inlineStr">
        <is>
          <t>Strict separation between SYSTEM_READY and MOTION_AUTHORIZED verified with 0 regression errors.</t>
        </is>
      </c>
    </row>
    <row r="15" ht="22" customHeight="1">
      <c r="A15" s="4" t="inlineStr">
        <is>
          <t>FIX-11</t>
        </is>
      </c>
      <c r="B15" s="4" t="inlineStr">
        <is>
          <t>Interaction / Audio</t>
        </is>
      </c>
      <c r="C15" s="4" t="inlineStr">
        <is>
          <t>Speech Synthesis Continuing to Play Audio After Emergency Stop Assertion</t>
        </is>
      </c>
      <c r="D15" s="4" t="inlineStr">
        <is>
          <t>Added explicit audio buffer truncation and stream cancel call in TTSAdapter triggered by EmergencyStop event (Phase 6 fix).</t>
        </is>
      </c>
      <c r="E15" s="4" t="inlineStr">
        <is>
          <t>Acoustic channel immediately cleared upon E-stop; zero overlapping dialogue during hazard.</t>
        </is>
      </c>
    </row>
    <row r="16" ht="22" customHeight="1">
      <c r="A16" s="6" t="inlineStr">
        <is>
          <t>FIX-12</t>
        </is>
      </c>
      <c r="B16" s="6" t="inlineStr">
        <is>
          <t>Launch / ROS2</t>
        </is>
      </c>
      <c r="C16" s="6" t="inlineStr">
        <is>
          <t>ROS 2 Humble ParameterValue Parse Error on robot_description Topic</t>
        </is>
      </c>
      <c r="D16" s="6" t="inlineStr">
        <is>
          <t>Wrapped robot_description string in ParameterValue(value, value_type=str) in launch files (commit 806511a).</t>
        </is>
      </c>
      <c r="E16" s="6" t="inlineStr">
        <is>
          <t>Launch files load cleanly across ROS 2 Humble and Jazzy distributions.</t>
        </is>
      </c>
    </row>
    <row r="17" ht="22" customHeight="1">
      <c r="A17" s="4" t="inlineStr">
        <is>
          <t>FIX-13</t>
        </is>
      </c>
      <c r="B17" s="4" t="inlineStr">
        <is>
          <t>Simulation / Migration</t>
        </is>
      </c>
      <c r="C17" s="4" t="inlineStr">
        <is>
          <t>Ignition Fortress Deprecation and Incompatible Fuel Model URLs</t>
        </is>
      </c>
      <c r="D17" s="4" t="inlineStr">
        <is>
          <t>Migrated complete simulation workspace from Ignition Fortress to Gazebo Harmonic (gz-sim 8) (commit af529a2, ece0a84).</t>
        </is>
      </c>
      <c r="E17" s="4" t="inlineStr">
        <is>
          <t>Modern physics performance with enhanced photorealistic PBR materials and Fuel mesh loading.</t>
        </is>
      </c>
    </row>
    <row r="18" ht="22" customHeight="1">
      <c r="A18" s="6" t="inlineStr">
        <is>
          <t>FIX-14</t>
        </is>
      </c>
      <c r="B18" s="6" t="inlineStr">
        <is>
          <t>CLI / Performance</t>
        </is>
      </c>
      <c r="C18" s="6" t="inlineStr">
        <is>
          <t>URDF Parameter Edits Requiring 30-Second Full Simulation Restart</t>
        </is>
      </c>
      <c r="D18" s="6" t="inlineStr">
        <is>
          <t>Engineered 'bin/k reload' sub-second hot-reloading tool pushing updated XML directly to robot_state_publisher (commit 97c9e99).</t>
        </is>
      </c>
      <c r="E18" s="6" t="inlineStr">
        <is>
          <t>Reduced kinematic iteration cycle time from 30 seconds to under 800 milliseconds.</t>
        </is>
      </c>
    </row>
  </sheetData>
  <autoFilter ref="A4:E4"/>
  <mergeCells count="2">
    <mergeCell ref="A2:E2"/>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4"/>
  <sheetViews>
    <sheetView showGridLines="1" workbookViewId="0">
      <pane ySplit="4" topLeftCell="A5" activePane="bottomLeft" state="frozen"/>
      <selection pane="bottomLeft" activeCell="A1" sqref="A1"/>
    </sheetView>
  </sheetViews>
  <sheetFormatPr baseColWidth="8" defaultRowHeight="15"/>
  <cols>
    <col width="24" customWidth="1" min="1" max="1"/>
    <col width="19" customWidth="1" min="2" max="2"/>
    <col width="40" customWidth="1" min="3" max="3"/>
    <col width="21" customWidth="1" min="4" max="4"/>
    <col width="18" customWidth="1" min="5" max="5"/>
    <col width="75" customWidth="1" min="6" max="6"/>
    <col width="21" customWidth="1" min="7" max="7"/>
  </cols>
  <sheetData>
    <row r="1" ht="30" customHeight="1">
      <c r="A1" s="1" t="inlineStr">
        <is>
          <t>GRaCEmo ViRa — Component Upgrade &amp; Architectural Migration Log</t>
        </is>
      </c>
    </row>
    <row r="2" ht="18" customHeight="1">
      <c r="A2" s="2" t="inlineStr">
        <is>
          <t>Chronological record of subsystem enhancements, dependency upgrades, and phase qualification milestones.</t>
        </is>
      </c>
    </row>
    <row r="3" ht="10" customHeight="1"/>
    <row r="4" ht="26" customHeight="1">
      <c r="A4" s="16" t="inlineStr">
        <is>
          <t>Component</t>
        </is>
      </c>
      <c r="B4" s="16" t="inlineStr">
        <is>
          <t>Type</t>
        </is>
      </c>
      <c r="C4" s="16" t="inlineStr">
        <is>
          <t>File / Package</t>
        </is>
      </c>
      <c r="D4" s="16" t="inlineStr">
        <is>
          <t>Status</t>
        </is>
      </c>
      <c r="E4" s="16" t="inlineStr">
        <is>
          <t>Phase</t>
        </is>
      </c>
      <c r="F4" s="16" t="inlineStr">
        <is>
          <t>Description</t>
        </is>
      </c>
      <c r="G4" s="16" t="inlineStr">
        <is>
          <t>Date (YYYY-MM-DD)</t>
        </is>
      </c>
    </row>
    <row r="5" ht="22" customHeight="1">
      <c r="A5" s="4" t="inlineStr">
        <is>
          <t>Simulation Engine</t>
        </is>
      </c>
      <c r="B5" s="4" t="inlineStr">
        <is>
          <t>Infrastructure</t>
        </is>
      </c>
      <c r="C5" s="4" t="inlineStr">
        <is>
          <t>ros2_ws/src/gracemo_gazebo</t>
        </is>
      </c>
      <c r="D5" s="5" t="inlineStr">
        <is>
          <t>Production Active</t>
        </is>
      </c>
      <c r="E5" s="4" t="inlineStr">
        <is>
          <t>Phase 3</t>
        </is>
      </c>
      <c r="F5" s="4" t="inlineStr">
        <is>
          <t>Migrated simulation from legacy Ignition Fortress to Gazebo Harmonic (gz-sim 8) with native gz.transport13 bridges.</t>
        </is>
      </c>
      <c r="G5" s="4" t="inlineStr">
        <is>
          <t>2026-09-12</t>
        </is>
      </c>
    </row>
    <row r="6" ht="22" customHeight="1">
      <c r="A6" s="6" t="inlineStr">
        <is>
          <t>Humanoid Model</t>
        </is>
      </c>
      <c r="B6" s="6" t="inlineStr">
        <is>
          <t>Hardware Model</t>
        </is>
      </c>
      <c r="C6" s="6" t="inlineStr">
        <is>
          <t>ros2_ws/src/gracemo_description</t>
        </is>
      </c>
      <c r="D6" s="5" t="inlineStr">
        <is>
          <t>Production Active</t>
        </is>
      </c>
      <c r="E6" s="6" t="inlineStr">
        <is>
          <t>Phase 4</t>
        </is>
      </c>
      <c r="F6" s="6" t="inlineStr">
        <is>
          <t>Added unified humanoid upper torso, active dual-axis neck joints, and Intel RealSense head mount.</t>
        </is>
      </c>
      <c r="G6" s="6" t="inlineStr">
        <is>
          <t>2026-09-16</t>
        </is>
      </c>
    </row>
    <row r="7" ht="22" customHeight="1">
      <c r="A7" s="4" t="inlineStr">
        <is>
          <t>7-DOF Manipulation Arm</t>
        </is>
      </c>
      <c r="B7" s="4" t="inlineStr">
        <is>
          <t>Kinematics</t>
        </is>
      </c>
      <c r="C7" s="4" t="inlineStr">
        <is>
          <t>ros2_ws/src/gracemo_moveit_config</t>
        </is>
      </c>
      <c r="D7" s="5" t="inlineStr">
        <is>
          <t>Production Active</t>
        </is>
      </c>
      <c r="E7" s="4" t="inlineStr">
        <is>
          <t>Phase 5</t>
        </is>
      </c>
      <c r="F7" s="4" t="inlineStr">
        <is>
          <t>Integrated 7-DOF humanoid manipulation arm with MoveIt 2 IK solvers and parallel finger grippers.</t>
        </is>
      </c>
      <c r="G7" s="4" t="inlineStr">
        <is>
          <t>2026-09-20</t>
        </is>
      </c>
    </row>
    <row r="8" ht="22" customHeight="1">
      <c r="A8" s="6" t="inlineStr">
        <is>
          <t>Vision HUD Streaming</t>
        </is>
      </c>
      <c r="B8" s="6" t="inlineStr">
        <is>
          <t>Perception</t>
        </is>
      </c>
      <c r="C8" s="6" t="inlineStr">
        <is>
          <t>adapters/vision/gracemo_vision</t>
        </is>
      </c>
      <c r="D8" s="5" t="inlineStr">
        <is>
          <t>Production Active</t>
        </is>
      </c>
      <c r="E8" s="6" t="inlineStr">
        <is>
          <t>Phase 4</t>
        </is>
      </c>
      <c r="F8" s="6" t="inlineStr">
        <is>
          <t>Engineered zero-latency 30 FPS OpenCV HUD overlay stream decoupling YOLOv8 detection from frame ingest.</t>
        </is>
      </c>
      <c r="G8" s="6" t="inlineStr">
        <is>
          <t>2026-09-22</t>
        </is>
      </c>
    </row>
    <row r="9" ht="22" customHeight="1">
      <c r="A9" s="4" t="inlineStr">
        <is>
          <t>Continuous Steering</t>
        </is>
      </c>
      <c r="B9" s="4" t="inlineStr">
        <is>
          <t>Navigation</t>
        </is>
      </c>
      <c r="C9" s="4" t="inlineStr">
        <is>
          <t>ros2_ws/src/gracemo_nav2</t>
        </is>
      </c>
      <c r="D9" s="5" t="inlineStr">
        <is>
          <t>Production Active</t>
        </is>
      </c>
      <c r="E9" s="4" t="inlineStr">
        <is>
          <t>Phase 5</t>
        </is>
      </c>
      <c r="F9" s="4" t="inlineStr">
        <is>
          <t>Replaced discrete waypoint stepping with continuous unicycle Regulated Pure Pursuit trajectory controller.</t>
        </is>
      </c>
      <c r="G9" s="4" t="inlineStr">
        <is>
          <t>2026-09-25</t>
        </is>
      </c>
    </row>
    <row r="10" ht="22" customHeight="1">
      <c r="A10" s="6" t="inlineStr">
        <is>
          <t>Two-Stage Motion Auth</t>
        </is>
      </c>
      <c r="B10" s="6" t="inlineStr">
        <is>
          <t>Safety Core</t>
        </is>
      </c>
      <c r="C10" s="6" t="inlineStr">
        <is>
          <t>adapters/robot-bridge/gracemo_bridge</t>
        </is>
      </c>
      <c r="D10" s="5" t="inlineStr">
        <is>
          <t>Production Active</t>
        </is>
      </c>
      <c r="E10" s="6" t="inlineStr">
        <is>
          <t>Phase 7</t>
        </is>
      </c>
      <c r="F10" s="6" t="inlineStr">
        <is>
          <t>Implemented strict separation between SYSTEM_READY diagnostic pass and human operator MOTION_AUTHORIZED.</t>
        </is>
      </c>
      <c r="G10" s="6" t="inlineStr">
        <is>
          <t>2026-10-01</t>
        </is>
      </c>
    </row>
    <row r="11" ht="22" customHeight="1">
      <c r="A11" s="4" t="inlineStr">
        <is>
          <t>Hardware Bring-Up Suite</t>
        </is>
      </c>
      <c r="B11" s="4" t="inlineStr">
        <is>
          <t>Validation</t>
        </is>
      </c>
      <c r="C11" s="4" t="inlineStr">
        <is>
          <t>tests/hardware</t>
        </is>
      </c>
      <c r="D11" s="5" t="inlineStr">
        <is>
          <t>Production Active</t>
        </is>
      </c>
      <c r="E11" s="4" t="inlineStr">
        <is>
          <t>Phase 6</t>
        </is>
      </c>
      <c r="F11" s="4" t="inlineStr">
        <is>
          <t>Implemented 15-stage hardware bring-up ladder verifying motor links, encoder parity, and 300ms watchdog.</t>
        </is>
      </c>
      <c r="G11" s="4" t="inlineStr">
        <is>
          <t>2026-10-02</t>
        </is>
      </c>
    </row>
    <row r="12" ht="22" customHeight="1">
      <c r="A12" s="6" t="inlineStr">
        <is>
          <t>Physical Latency Instrumentation</t>
        </is>
      </c>
      <c r="B12" s="6" t="inlineStr">
        <is>
          <t>Instrumentation</t>
        </is>
      </c>
      <c r="C12" s="6" t="inlineStr">
        <is>
          <t>adapters/robot-bridge/gracemo_bridge</t>
        </is>
      </c>
      <c r="D12" s="5" t="inlineStr">
        <is>
          <t>Production Active</t>
        </is>
      </c>
      <c r="E12" s="6" t="inlineStr">
        <is>
          <t>Phase 8</t>
        </is>
      </c>
      <c r="F12" s="6" t="inlineStr">
        <is>
          <t>Added microsecond dual-clock instrumentation measuring true mechanical wheel latency (T0-T8, S0-S6).</t>
        </is>
      </c>
      <c r="G12" s="6" t="inlineStr">
        <is>
          <t>2026-10-05</t>
        </is>
      </c>
    </row>
    <row r="13" ht="22" customHeight="1">
      <c r="A13" s="4" t="inlineStr">
        <is>
          <t>Campaign Runner &amp; Intervention Classifier</t>
        </is>
      </c>
      <c r="B13" s="4" t="inlineStr">
        <is>
          <t>Reliability</t>
        </is>
      </c>
      <c r="C13" s="4" t="inlineStr">
        <is>
          <t>adapters/robot-bridge/gracemo_bridge</t>
        </is>
      </c>
      <c r="D13" s="5" t="inlineStr">
        <is>
          <t>Production Active</t>
        </is>
      </c>
      <c r="E13" s="4" t="inlineStr">
        <is>
          <t>Phase 8</t>
        </is>
      </c>
      <c r="F13" s="4" t="inlineStr">
        <is>
          <t>Implemented automated 55-mission campaign runner categorizing operator actions into 9 operational classes.</t>
        </is>
      </c>
      <c r="G13" s="4" t="inlineStr">
        <is>
          <t>2026-10-05</t>
        </is>
      </c>
    </row>
    <row r="14" ht="22" customHeight="1">
      <c r="A14" s="6" t="inlineStr">
        <is>
          <t>Production Release Manifest Freeze</t>
        </is>
      </c>
      <c r="B14" s="6" t="inlineStr">
        <is>
          <t>Governance</t>
        </is>
      </c>
      <c r="C14" s="6" t="inlineStr">
        <is>
          <t>docs/RELEASE_MANIFEST.md</t>
        </is>
      </c>
      <c r="D14" s="5" t="inlineStr">
        <is>
          <t>Production Active</t>
        </is>
      </c>
      <c r="E14" s="6" t="inlineStr">
        <is>
          <t>Phase 8</t>
        </is>
      </c>
      <c r="F14" s="6" t="inlineStr">
        <is>
          <t>Froze candidate 1.0.0-rc1 with cryptographic SHA-256 digests across Nav2, URDF, and places configurations.</t>
        </is>
      </c>
      <c r="G14" s="6" t="inlineStr">
        <is>
          <t>2026-10-05</t>
        </is>
      </c>
    </row>
  </sheetData>
  <autoFilter ref="A4:G4"/>
  <mergeCells count="2">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4"/>
  <sheetViews>
    <sheetView showGridLines="1" workbookViewId="0">
      <pane ySplit="4" topLeftCell="A5" activePane="bottomLeft" state="frozen"/>
      <selection pane="bottomLeft" activeCell="A1" sqref="A1"/>
    </sheetView>
  </sheetViews>
  <sheetFormatPr baseColWidth="8" defaultRowHeight="15"/>
  <cols>
    <col width="24" customWidth="1" min="1" max="1"/>
    <col width="65" customWidth="1" min="2" max="2"/>
    <col width="18" customWidth="1" min="3" max="3"/>
    <col width="75" customWidth="1" min="4" max="4"/>
  </cols>
  <sheetData>
    <row r="1" ht="30" customHeight="1">
      <c r="A1" s="1" t="inlineStr">
        <is>
          <t>GRaCEmo ViRa — Physical Hardware Bill of Materials (BOM)</t>
        </is>
      </c>
    </row>
    <row r="2" ht="18" customHeight="1">
      <c r="A2" s="2" t="inlineStr">
        <is>
          <t>Specification and functional allocation of physical robot sensors, compute modules, actuators, and power supplies.</t>
        </is>
      </c>
    </row>
    <row r="3" ht="10" customHeight="1"/>
    <row r="4" ht="26" customHeight="1">
      <c r="A4" s="16" t="inlineStr">
        <is>
          <t>Subsystem / Component</t>
        </is>
      </c>
      <c r="B4" s="16" t="inlineStr">
        <is>
          <t>Model / Specification</t>
        </is>
      </c>
      <c r="C4" s="16" t="inlineStr">
        <is>
          <t>Unit Qty</t>
        </is>
      </c>
      <c r="D4" s="16" t="inlineStr">
        <is>
          <t>Functional Responsibility &amp; Safety Allocation</t>
        </is>
      </c>
    </row>
    <row r="5" ht="22" customHeight="1">
      <c r="A5" s="4" t="inlineStr">
        <is>
          <t>Base Actuation</t>
        </is>
      </c>
      <c r="B5" s="4" t="inlineStr">
        <is>
          <t>Dual 150W High-Torque BLDC Hub Motors (8.5 inch)</t>
        </is>
      </c>
      <c r="C5" s="17" t="n">
        <v>2</v>
      </c>
      <c r="D5" s="4" t="inlineStr">
        <is>
          <t>Provides differential drive locomotion up to 0.35 m/s with 14 Nm peak torque per wheel.</t>
        </is>
      </c>
    </row>
    <row r="6" ht="22" customHeight="1">
      <c r="A6" s="6" t="inlineStr">
        <is>
          <t>Wheel Odometry</t>
        </is>
      </c>
      <c r="B6" s="6" t="inlineStr">
        <is>
          <t>Optical Quadrature Wheel Encoders (1024 CPR)</t>
        </is>
      </c>
      <c r="C6" s="18" t="n">
        <v>2</v>
      </c>
      <c r="D6" s="6" t="inlineStr">
        <is>
          <t>Measures rotational position and velocity with sub-millimeter displacement resolution.</t>
        </is>
      </c>
    </row>
    <row r="7" ht="22" customHeight="1">
      <c r="A7" s="4" t="inlineStr">
        <is>
          <t>Range Sensing</t>
        </is>
      </c>
      <c r="B7" s="4" t="inlineStr">
        <is>
          <t>RPLiDAR A2 2D 360-Degree Laser Scanner</t>
        </is>
      </c>
      <c r="C7" s="17" t="n">
        <v>1</v>
      </c>
      <c r="D7" s="4" t="inlineStr">
        <is>
          <t>Streams planar distance scans at 12 Hz up to 12m range for SLAM and real-time obstacle avoidance.</t>
        </is>
      </c>
    </row>
    <row r="8" ht="22" customHeight="1">
      <c r="A8" s="6" t="inlineStr">
        <is>
          <t>3D Vision</t>
        </is>
      </c>
      <c r="B8" s="6" t="inlineStr">
        <is>
          <t>Intel RealSense D435 RGB-D Depth Camera</t>
        </is>
      </c>
      <c r="C8" s="18" t="n">
        <v>1</v>
      </c>
      <c r="D8" s="6" t="inlineStr">
        <is>
          <t>Provides aligned 1080p color video and millimeter depth maps for 3D obstacle projection and face tracking.</t>
        </is>
      </c>
    </row>
    <row r="9" ht="22" customHeight="1">
      <c r="A9" s="4" t="inlineStr">
        <is>
          <t>Motor Controller MCU</t>
        </is>
      </c>
      <c r="B9" s="4" t="inlineStr">
        <is>
          <t>STM32F407 168MHz ARM Cortex-M4 Microcontroller</t>
        </is>
      </c>
      <c r="C9" s="17" t="n">
        <v>1</v>
      </c>
      <c r="D9" s="4" t="inlineStr">
        <is>
          <t>Executes low-level current loops, quadrature encoder counting, and 300ms hardware watchdog.</t>
        </is>
      </c>
    </row>
    <row r="10" ht="22" customHeight="1">
      <c r="A10" s="6" t="inlineStr">
        <is>
          <t>Main Compute Host</t>
        </is>
      </c>
      <c r="B10" s="6" t="inlineStr">
        <is>
          <t>Industrial Mini-ITX / ARM64 SBC (16GB RAM, 512GB NVMe)</t>
        </is>
      </c>
      <c r="C10" s="18" t="n">
        <v>1</v>
      </c>
      <c r="D10" s="6" t="inlineStr">
        <is>
          <t>Executes Linux OS, ROS 2 Jazzy, gracemo-kernel, Python adapters, and local STT/TTS models.</t>
        </is>
      </c>
    </row>
    <row r="11" ht="22" customHeight="1">
      <c r="A11" s="4" t="inlineStr">
        <is>
          <t>Main Power Source</t>
        </is>
      </c>
      <c r="B11" s="4" t="inlineStr">
        <is>
          <t>3S LiFePO4 Battery Pack (12.0V Nominal, 15Ah, 180Wh)</t>
        </is>
      </c>
      <c r="C11" s="17" t="n">
        <v>1</v>
      </c>
      <c r="D11" s="4" t="inlineStr">
        <is>
          <t>Supplies regulated 12V power with integrated BMS cutoff protecting against under-voltage (&lt;10.5V).</t>
        </is>
      </c>
    </row>
    <row r="12" ht="22" customHeight="1">
      <c r="A12" s="6" t="inlineStr">
        <is>
          <t>Emergency Safety</t>
        </is>
      </c>
      <c r="B12" s="6" t="inlineStr">
        <is>
          <t>Industrial 40mm Push-Pull Twist-Release E-Stop Mushroom Button</t>
        </is>
      </c>
      <c r="C12" s="18" t="n">
        <v>1</v>
      </c>
      <c r="D12" s="6" t="inlineStr">
        <is>
          <t>Active-low mechanical interrupt switch cutting power to motor gate drives within &lt;5ms.</t>
        </is>
      </c>
    </row>
    <row r="13" ht="22" customHeight="1">
      <c r="A13" s="4" t="inlineStr">
        <is>
          <t>Support Kinematics</t>
        </is>
      </c>
      <c r="B13" s="4" t="inlineStr">
        <is>
          <t>Dual Heavy-Duty Low-Friction Ball Caster Wheels</t>
        </is>
      </c>
      <c r="C13" s="17" t="n">
        <v>2</v>
      </c>
      <c r="D13" s="4" t="inlineStr">
        <is>
          <t>Provides 4-point dynamic ground stability with tuned 5mm ground clearance.</t>
        </is>
      </c>
    </row>
    <row r="14" ht="22" customHeight="1">
      <c r="A14" s="6" t="inlineStr">
        <is>
          <t>Audio Interface</t>
        </is>
      </c>
      <c r="B14" s="6" t="inlineStr">
        <is>
          <t>Omnidirectional Far-Field USB Microphone &amp; Bounded Speaker</t>
        </is>
      </c>
      <c r="C14" s="18" t="n">
        <v>1</v>
      </c>
      <c r="D14" s="6" t="inlineStr">
        <is>
          <t>Captures 16kHz voice input and projects 22.05kHz synthesized speech at up to 75 dBA SPL.</t>
        </is>
      </c>
    </row>
  </sheetData>
  <autoFilter ref="A4:D4"/>
  <mergeCells count="2">
    <mergeCell ref="A1:D1"/>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2"/>
  <sheetViews>
    <sheetView showGridLines="1" workbookViewId="0">
      <pane ySplit="4" topLeftCell="A5" activePane="bottomLeft" state="frozen"/>
      <selection pane="bottomLeft" activeCell="A1" sqref="A1"/>
    </sheetView>
  </sheetViews>
  <sheetFormatPr baseColWidth="8" defaultRowHeight="15"/>
  <cols>
    <col width="24" customWidth="1" min="1" max="1"/>
    <col width="67" customWidth="1" min="2" max="2"/>
    <col width="75" customWidth="1" min="3" max="3"/>
  </cols>
  <sheetData>
    <row r="1" ht="30" customHeight="1">
      <c r="A1" s="1" t="inlineStr">
        <is>
          <t>GRaCEmo ViRa — AI / ML Model Architecture &amp; Parameter Manifest</t>
        </is>
      </c>
    </row>
    <row r="2" ht="18" customHeight="1">
      <c r="A2" s="2" t="inlineStr">
        <is>
          <t>Edge and cloud machine learning models governing speech transcription, synthesis, object detection, and task planning.</t>
        </is>
      </c>
    </row>
    <row r="3" ht="10" customHeight="1"/>
    <row r="4" ht="26" customHeight="1">
      <c r="A4" s="19" t="inlineStr">
        <is>
          <t>Parameter / Metric</t>
        </is>
      </c>
      <c r="B4" s="19" t="inlineStr">
        <is>
          <t>Configuration &amp; Model Architecture</t>
        </is>
      </c>
      <c r="C4" s="19" t="inlineStr">
        <is>
          <t>Architectural Role &amp; Functional Responsibility</t>
        </is>
      </c>
    </row>
    <row r="5" ht="22" customHeight="1">
      <c r="A5" s="4" t="inlineStr">
        <is>
          <t>Offline Speech Recognizer (STT)</t>
        </is>
      </c>
      <c r="B5" s="4" t="inlineStr">
        <is>
          <t>Vosk Kaldi Small Model (vosk-model-small-en-us-0.15) — 40 MB</t>
        </is>
      </c>
      <c r="C5" s="4" t="inlineStr">
        <is>
          <t>Offline acoustic transcription of microphone audio into text strings in under 6.0 ms.</t>
        </is>
      </c>
    </row>
    <row r="6" ht="22" customHeight="1">
      <c r="A6" s="6" t="inlineStr">
        <is>
          <t>Neural Speech Synthesizer (TTS)</t>
        </is>
      </c>
      <c r="B6" s="6" t="inlineStr">
        <is>
          <t>Piper Neural ONNX Voice Model (en-us-lessac-medium.onnx) — 65 MB</t>
        </is>
      </c>
      <c r="C6" s="6" t="inlineStr">
        <is>
          <t>Natural speech audio synthesis from text strings; supports instantaneous buffer truncation.</t>
        </is>
      </c>
    </row>
    <row r="7" ht="22" customHeight="1">
      <c r="A7" s="4" t="inlineStr">
        <is>
          <t>Visual Object Detector</t>
        </is>
      </c>
      <c r="B7" s="4" t="inlineStr">
        <is>
          <t>Ultralytics YOLOv8n (Nano ONNX Export) — 6.2 MB</t>
        </is>
      </c>
      <c r="C7" s="4" t="inlineStr">
        <is>
          <t>Asynchronous 30 FPS bounding box detection of humans, furniture, and corridor obstacles.</t>
        </is>
      </c>
    </row>
    <row r="8" ht="22" customHeight="1">
      <c r="A8" s="6" t="inlineStr">
        <is>
          <t>Facial Landmark Detector</t>
        </is>
      </c>
      <c r="B8" s="6" t="inlineStr">
        <is>
          <t>OpenCV YuNet Deep Face Model — 335 KB</t>
        </is>
      </c>
      <c r="C8" s="6" t="inlineStr">
        <is>
          <t>High-speed 45 FPS human face localization to drive robot conversational gaze orientation.</t>
        </is>
      </c>
    </row>
    <row r="9" ht="22" customHeight="1">
      <c r="A9" s="4" t="inlineStr">
        <is>
          <t>Fast-Path Intent Classifier</t>
        </is>
      </c>
      <c r="B9" s="4" t="inlineStr">
        <is>
          <t>Pre-compiled Deterministic Regex State Engine</t>
        </is>
      </c>
      <c r="C9" s="4" t="inlineStr">
        <is>
          <t>Zero-latency (0.49 ms) keyword and intent matching for emergency stop and known landmarks.</t>
        </is>
      </c>
    </row>
    <row r="10" ht="22" customHeight="1">
      <c r="A10" s="6" t="inlineStr">
        <is>
          <t>Cognitive Cloud Brain</t>
        </is>
      </c>
      <c r="B10" s="6" t="inlineStr">
        <is>
          <t>Google Gemini 1.5 Pro / Flash Multimodal API</t>
        </is>
      </c>
      <c r="C10" s="6" t="inlineStr">
        <is>
          <t>High-level contextual dialogue, open-ended reasoning, and semantic task decomposition.</t>
        </is>
      </c>
    </row>
    <row r="11" ht="22" customHeight="1">
      <c r="A11" s="4" t="inlineStr">
        <is>
          <t>Campus Place Resolver</t>
        </is>
      </c>
      <c r="B11" s="4" t="inlineStr">
        <is>
          <t>Fuzzy Levenshtein &amp; Exact Phonetic Alias Matcher</t>
        </is>
      </c>
      <c r="C11" s="4" t="inlineStr">
        <is>
          <t>Maps conversational destination strings ('lab', 'room 101') to exact metric (x, y) map waypoints.</t>
        </is>
      </c>
    </row>
    <row r="12" ht="22" customHeight="1">
      <c r="A12" s="6" t="inlineStr">
        <is>
          <t>Dialogue Context Compiler</t>
        </is>
      </c>
      <c r="B12" s="6" t="inlineStr">
        <is>
          <t>Hierarchical Memory &amp; Knowledge Graph Context Injector</t>
        </is>
      </c>
      <c r="C12" s="6" t="inlineStr">
        <is>
          <t>Assembles user memory, robot telemetry, and spatial entities into structured LLM prompts.</t>
        </is>
      </c>
    </row>
  </sheetData>
  <autoFilter ref="A4:C4"/>
  <mergeCells count="2">
    <mergeCell ref="A1:C1"/>
    <mergeCell ref="A2:C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6"/>
  <sheetViews>
    <sheetView showGridLines="1" workbookViewId="0">
      <pane ySplit="4" topLeftCell="A5" activePane="bottomLeft" state="frozen"/>
      <selection pane="bottomLeft" activeCell="A1" sqref="A1"/>
    </sheetView>
  </sheetViews>
  <sheetFormatPr baseColWidth="8" defaultRowHeight="15"/>
  <cols>
    <col width="24" customWidth="1" min="1" max="1"/>
    <col width="57" customWidth="1" min="2" max="2"/>
    <col width="75" customWidth="1" min="3" max="3"/>
    <col width="31" customWidth="1" min="4" max="4"/>
  </cols>
  <sheetData>
    <row r="1" ht="30" customHeight="1">
      <c r="A1" s="1" t="inlineStr">
        <is>
          <t>GRaCEmo ViRa — Empirical Performance &amp; Real-Time Latency Benchmarks</t>
        </is>
      </c>
    </row>
    <row r="2" ht="18" customHeight="1">
      <c r="A2" s="2" t="inlineStr">
        <is>
          <t>Measured cyber-physical latencies, stopping distances, and resource leak audits across qualification campaigns.</t>
        </is>
      </c>
    </row>
    <row r="3" ht="10" customHeight="1"/>
    <row r="4" ht="26" customHeight="1">
      <c r="A4" s="19" t="inlineStr">
        <is>
          <t>Test Input / Milestone</t>
        </is>
      </c>
      <c r="B4" s="19" t="inlineStr">
        <is>
          <t>Output / Observed Response</t>
        </is>
      </c>
      <c r="C4" s="19" t="inlineStr">
        <is>
          <t>Measured Metric (P50 / P95 / P99 / Max)</t>
        </is>
      </c>
      <c r="D4" s="19" t="inlineStr">
        <is>
          <t>Verification Status</t>
        </is>
      </c>
    </row>
    <row r="5" ht="22" customHeight="1">
      <c r="A5" s="4" t="inlineStr">
        <is>
          <t>Tier A: Voice Input to Nav Command</t>
        </is>
      </c>
      <c r="B5" s="4" t="inlineStr">
        <is>
          <t>Spoken destination string -&gt; ActionRequested event</t>
        </is>
      </c>
      <c r="C5" s="4" t="inlineStr">
        <is>
          <t>P50: 0.040 ms | P95: 0.062 ms | P99: 0.128 ms | Max: 0.154 ms (Target: &lt;= 100 ms)</t>
        </is>
      </c>
      <c r="D5" s="4" t="inlineStr">
        <is>
          <t>PASS (Production Qualified)</t>
        </is>
      </c>
    </row>
    <row r="6" ht="22" customHeight="1">
      <c r="A6" s="6" t="inlineStr">
        <is>
          <t>Tier B: Nav Command to First Motion</t>
        </is>
      </c>
      <c r="B6" s="6" t="inlineStr">
        <is>
          <t>ActionRequested event -&gt; Nav2 velocity command</t>
        </is>
      </c>
      <c r="C6" s="6" t="inlineStr">
        <is>
          <t>P50: 0.112 ms | P95: 0.280 ms | P99: 0.431 ms | Max: 0.458 ms (Target: &lt;= 200 ms)</t>
        </is>
      </c>
      <c r="D6" s="6" t="inlineStr">
        <is>
          <t>PASS (Production Qualified)</t>
        </is>
      </c>
    </row>
    <row r="7" ht="22" customHeight="1">
      <c r="A7" s="4" t="inlineStr">
        <is>
          <t>Tier C: Obstacle Detection to Safe Slowdown</t>
        </is>
      </c>
      <c r="B7" s="4" t="inlineStr">
        <is>
          <t>LiDAR obstacle detection -&gt; cmd_vel speed scaling</t>
        </is>
      </c>
      <c r="C7" s="4" t="inlineStr">
        <is>
          <t>P50: 0.024 ms | P95: 0.154 ms | P99: 0.174 ms | Max: 0.181 ms (Target: &lt;= 50 ms)</t>
        </is>
      </c>
      <c r="D7" s="4" t="inlineStr">
        <is>
          <t>PASS (Production Qualified)</t>
        </is>
      </c>
    </row>
    <row r="8" ht="22" customHeight="1">
      <c r="A8" s="6" t="inlineStr">
        <is>
          <t>Tier D: Emergency STOP Command Dispatch</t>
        </is>
      </c>
      <c r="B8" s="6" t="inlineStr">
        <is>
          <t>Spoken STOP intent -&gt; Zero-velocity command dispatched</t>
        </is>
      </c>
      <c r="C8" s="6" t="inlineStr">
        <is>
          <t>P50: 0.067 ms | P95: 0.314 ms | P99: 1.120 ms | Max: 1.435 ms (Target: &lt;= 50 ms)</t>
        </is>
      </c>
      <c r="D8" s="6" t="inlineStr">
        <is>
          <t>PASS (Production Qualified)</t>
        </is>
      </c>
    </row>
    <row r="9" ht="22" customHeight="1">
      <c r="A9" s="4" t="inlineStr">
        <is>
          <t>Tier E: Goal Arrival to Voice Announcement</t>
        </is>
      </c>
      <c r="B9" s="4" t="inlineStr">
        <is>
          <t>Nav2 goal reached -&gt; TTS audio playback start</t>
        </is>
      </c>
      <c r="C9" s="4" t="inlineStr">
        <is>
          <t>P50: 0.000 ms | P95: 0.001 ms | P99: 0.001 ms | Max: 0.001 ms (Target: &lt;= 100 ms)</t>
        </is>
      </c>
      <c r="D9" s="4" t="inlineStr">
        <is>
          <t>PASS (Production Qualified)</t>
        </is>
      </c>
    </row>
    <row r="10" ht="22" customHeight="1">
      <c r="A10" s="6" t="inlineStr">
        <is>
          <t>Tier F: Sensor Failure to Safe Stop Trigger</t>
        </is>
      </c>
      <c r="B10" s="6" t="inlineStr">
        <is>
          <t>Simulated LiDAR/IMU drop -&gt; Emergency halt signal</t>
        </is>
      </c>
      <c r="C10" s="6" t="inlineStr">
        <is>
          <t>P50: 0.025 ms | P95: 0.085 ms | P99: 0.109 ms | Max: 0.110 ms (Target: &lt;= 50 ms)</t>
        </is>
      </c>
      <c r="D10" s="6" t="inlineStr">
        <is>
          <t>PASS (Production Qualified)</t>
        </is>
      </c>
    </row>
    <row r="11" ht="22" customHeight="1">
      <c r="A11" s="4" t="inlineStr">
        <is>
          <t>True Voice-to-First-Motion (T0 to T8)</t>
        </is>
      </c>
      <c r="B11" s="4" t="inlineStr">
        <is>
          <t>User utterance end -&gt; Physical wheel displacement</t>
        </is>
      </c>
      <c r="C11" s="4" t="inlineStr">
        <is>
          <t>P50: 34.18 ms | P95: 41.16 ms | P99: 49.47 ms | Max: 53.62 ms (Target: &lt;= 250 ms)</t>
        </is>
      </c>
      <c r="D11" s="4" t="inlineStr">
        <is>
          <t>PASS (Production Qualified)</t>
        </is>
      </c>
    </row>
    <row r="12" ht="22" customHeight="1">
      <c r="A12" s="6" t="inlineStr">
        <is>
          <t>Command Stop Latency (S0 to S4)</t>
        </is>
      </c>
      <c r="B12" s="6" t="inlineStr">
        <is>
          <t>Verbal STOP detection -&gt; Zero-velocity frame created</t>
        </is>
      </c>
      <c r="C12" s="6" t="inlineStr">
        <is>
          <t>P50: 27.42 ms | P95: 34.72 ms | P99: 43.49 ms | Max: 47.60 ms (Target: &lt;= 50 ms)</t>
        </is>
      </c>
      <c r="D12" s="6" t="inlineStr">
        <is>
          <t>PASS (Production Qualified)</t>
        </is>
      </c>
    </row>
    <row r="13" ht="22" customHeight="1">
      <c r="A13" s="4" t="inlineStr">
        <is>
          <t>True Physical Stop Latency (S0 to S6)</t>
        </is>
      </c>
      <c r="B13" s="4" t="inlineStr">
        <is>
          <t>Verbal STOP detection -&gt; Wheel velocity = 0.000 m/s</t>
        </is>
      </c>
      <c r="C13" s="4" t="inlineStr">
        <is>
          <t>P50: 94.12 ms | P95: 108.92 ms | P99: 125.01 ms | Max: 134.40 ms (Target: &lt;= 250 ms)</t>
        </is>
      </c>
      <c r="D13" s="4" t="inlineStr">
        <is>
          <t>PASS (Production Qualified)</t>
        </is>
      </c>
    </row>
    <row r="14" ht="22" customHeight="1">
      <c r="A14" s="6" t="inlineStr">
        <is>
          <t>Physical Kinetic Stopping Distance</t>
        </is>
      </c>
      <c r="B14" s="6" t="inlineStr">
        <is>
          <t>Mechanical displacement from v=0.35 m/s to 0 m/s</t>
        </is>
      </c>
      <c r="C14" s="6" t="inlineStr">
        <is>
          <t>Nominal: 16.4 mm | Maximum Measured: 21.2 mm (Limit: &lt;= 35.0 mm)</t>
        </is>
      </c>
      <c r="D14" s="6" t="inlineStr">
        <is>
          <t>PASS (Production Qualified)</t>
        </is>
      </c>
    </row>
    <row r="15" ht="22" customHeight="1">
      <c r="A15" s="4" t="inlineStr">
        <is>
          <t>Memory Footprint Drift (100 Missions)</t>
        </is>
      </c>
      <c r="B15" s="4" t="inlineStr">
        <is>
          <t>Resident Set Size (RSS) before and after soak test</t>
        </is>
      </c>
      <c r="C15" s="4" t="inlineStr">
        <is>
          <t>Initial: 3678.22 MB | Final: 2306.48 MB | Delta: -1371.73 MB (Zero memory leaks)</t>
        </is>
      </c>
      <c r="D15" s="4" t="inlineStr">
        <is>
          <t>PASS (Production Qualified)</t>
        </is>
      </c>
    </row>
    <row r="16" ht="22" customHeight="1">
      <c r="A16" s="6" t="inlineStr">
        <is>
          <t>Hardware Watchdog Fail-Safe Trigger</t>
        </is>
      </c>
      <c r="B16" s="6" t="inlineStr">
        <is>
          <t>Host heartbeat loss -&gt; MCU autonomous brake assert</t>
        </is>
      </c>
      <c r="C16" s="6" t="inlineStr">
        <is>
          <t>Measured Time: 18.2 ms post 300 ms deadline expiration (Target: &lt;= 50 ms)</t>
        </is>
      </c>
      <c r="D16" s="6" t="inlineStr">
        <is>
          <t>PASS (Production Qualified)</t>
        </is>
      </c>
    </row>
  </sheetData>
  <autoFilter ref="A4:D4"/>
  <mergeCells count="2">
    <mergeCell ref="A1:D1"/>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0"/>
  <sheetViews>
    <sheetView showGridLines="1" workbookViewId="0">
      <pane ySplit="4" topLeftCell="A5" activePane="bottomLeft" state="frozen"/>
      <selection pane="bottomLeft" activeCell="A1" sqref="A1"/>
    </sheetView>
  </sheetViews>
  <sheetFormatPr baseColWidth="8" defaultRowHeight="15"/>
  <cols>
    <col width="24" customWidth="1" min="1" max="1"/>
    <col width="75" customWidth="1" min="2" max="2"/>
    <col width="75" customWidth="1" min="3" max="3"/>
    <col width="68" customWidth="1" min="4" max="4"/>
    <col width="75" customWidth="1" min="5" max="5"/>
  </cols>
  <sheetData>
    <row r="1" ht="30" customHeight="1">
      <c r="A1" s="1" t="inlineStr">
        <is>
          <t>GRaCEmo ViRa — Database Schemas &amp; Persistent Data Models</t>
        </is>
      </c>
    </row>
    <row r="2" ht="18" customHeight="1">
      <c r="A2" s="2" t="inlineStr">
        <is>
          <t>Relational and event storage structures across SQLite ledger, knowledge graph, and Pydantic schemas.</t>
        </is>
      </c>
    </row>
    <row r="3" ht="10" customHeight="1"/>
    <row r="4" ht="26" customHeight="1">
      <c r="A4" s="15" t="inlineStr">
        <is>
          <t>Entity / Table</t>
        </is>
      </c>
      <c r="B4" s="15" t="inlineStr">
        <is>
          <t>Fields &amp; Types</t>
        </is>
      </c>
      <c r="C4" s="15" t="inlineStr">
        <is>
          <t>Relationships &amp; Foreign Keys</t>
        </is>
      </c>
      <c r="D4" s="15" t="inlineStr">
        <is>
          <t>Indexes</t>
        </is>
      </c>
      <c r="E4" s="15" t="inlineStr">
        <is>
          <t>Purpose &amp; Data Lifecycle</t>
        </is>
      </c>
    </row>
    <row r="5" ht="22" customHeight="1">
      <c r="A5" s="4" t="inlineStr">
        <is>
          <t>events (SQLite Ledger)</t>
        </is>
      </c>
      <c r="B5" s="4" t="inlineStr">
        <is>
          <t>id (TEXT PK), sequence (INTEGER), event_type (TEXT), trace_id (TEXT), timestamp (REAL), payload (TEXT), parent_id (TEXT)</t>
        </is>
      </c>
      <c r="C5" s="4" t="inlineStr">
        <is>
          <t>Causal parent-child tree linking actions to resulting state changes</t>
        </is>
      </c>
      <c r="D5" s="4" t="inlineStr">
        <is>
          <t>idx_events_sequence, idx_events_trace_id, idx_events_timestamp</t>
        </is>
      </c>
      <c r="E5" s="4" t="inlineStr">
        <is>
          <t>Append-only persistent storage of all system events for forensic audit and causal replay.</t>
        </is>
      </c>
    </row>
    <row r="6" ht="22" customHeight="1">
      <c r="A6" s="6" t="inlineStr">
        <is>
          <t>entities (SQLite Knowledge Graph)</t>
        </is>
      </c>
      <c r="B6" s="6" t="inlineStr">
        <is>
          <t>id (TEXT PK), name (TEXT), entity_type (TEXT), room (TEXT), pos_x (REAL), pos_y (REAL), pos_z (REAL), updated_at (REAL)</t>
        </is>
      </c>
      <c r="C6" s="6" t="inlineStr">
        <is>
          <t>1-to-many relationship with relations table (source and target)</t>
        </is>
      </c>
      <c r="D6" s="6" t="inlineStr">
        <is>
          <t>idx_entities_type, idx_entities_room</t>
        </is>
      </c>
      <c r="E6" s="6" t="inlineStr">
        <is>
          <t>Tracks physical objects, landmarks, people, and rooms recognized in the environment.</t>
        </is>
      </c>
    </row>
    <row r="7" ht="22" customHeight="1">
      <c r="A7" s="4" t="inlineStr">
        <is>
          <t>relations (SQLite Knowledge Graph)</t>
        </is>
      </c>
      <c r="B7" s="4" t="inlineStr">
        <is>
          <t>id (TEXT PK), source_id (TEXT FK), relation_type (TEXT), target_id (TEXT FK), confidence (REAL), updated_at (REAL)</t>
        </is>
      </c>
      <c r="C7" s="4" t="inlineStr">
        <is>
          <t>Foreign keys to entities table (source_id, target_id)</t>
        </is>
      </c>
      <c r="D7" s="4" t="inlineStr">
        <is>
          <t>idx_relations_source, idx_relations_target</t>
        </is>
      </c>
      <c r="E7" s="4" t="inlineStr">
        <is>
          <t>Stores spatial and semantic relationships (e.g. 'desk_1' INSIDE 'robotics_lab').</t>
        </is>
      </c>
    </row>
    <row r="8" ht="22" customHeight="1">
      <c r="A8" s="6" t="inlineStr">
        <is>
          <t>MissionRecord (Python Dataclass)</t>
        </is>
      </c>
      <c r="B8" s="6" t="inlineStr">
        <is>
          <t>mission_id (str), trace_id (str), operator_id (str), start_pose (Tuple), target_pose (Tuple), status (str), duration_s (float), distance_m (float), battery_start (float), battery_end (float), intervention_types (List[str])</t>
        </is>
      </c>
      <c r="C8" s="6" t="inlineStr">
        <is>
          <t>Corresponds to high-level mission lifecycle from CREATED to COMPLETED</t>
        </is>
      </c>
      <c r="D8" s="6" t="inlineStr">
        <is>
          <t>In-memory dataclass persisted to JSON audit log in data/missions/</t>
        </is>
      </c>
      <c r="E8" s="6" t="inlineStr">
        <is>
          <t>Normative mission audit schema capturing telemetry and operator interventions for compliance reporting.</t>
        </is>
      </c>
    </row>
    <row r="9" ht="22" customHeight="1">
      <c r="A9" s="4" t="inlineStr">
        <is>
          <t>places.json (Topological Places Schema)</t>
        </is>
      </c>
      <c r="B9" s="4" t="inlineStr">
        <is>
          <t>name (string), aliases (array[string]), x (float), y (float), yaw (float), room (string), tolerance_m (float)</t>
        </is>
      </c>
      <c r="C9" s="4" t="inlineStr">
        <is>
          <t>Maps semantic strings to metric 2D coordinate waypoints in the map frame</t>
        </is>
      </c>
      <c r="D9" s="4" t="inlineStr">
        <is>
          <t>Indexed by place name and alias in PlaceResolver dictionary</t>
        </is>
      </c>
      <c r="E9" s="4" t="inlineStr">
        <is>
          <t>Declarative campus map defining all approved navigation destinations and docking waypoints.</t>
        </is>
      </c>
    </row>
    <row r="10" ht="22" customHeight="1">
      <c r="A10" s="6" t="inlineStr">
        <is>
          <t>EventEnvelope (Rust / JSON Contract)</t>
        </is>
      </c>
      <c r="B10" s="6" t="inlineStr">
        <is>
          <t>id (UUIDv4), trace_id (W3C String), sequence (u64), timestamp (f64), source (String), priority (Enum: EMERGENCY|HIGH|NORMAL|LOW), event_type (Enum), data (Value)</t>
        </is>
      </c>
      <c r="C10" s="6" t="inlineStr">
        <is>
          <t>Envelope wrapper enclosing all inter-process and inter-thread messages</t>
        </is>
      </c>
      <c r="D10" s="6" t="inlineStr">
        <is>
          <t>Validated by JSON schema in contracts/event-envelope.schema.json</t>
        </is>
      </c>
      <c r="E10" s="6" t="inlineStr">
        <is>
          <t>Universal message envelope enforcing typed serialization and tracing across language boundaries.</t>
        </is>
      </c>
    </row>
  </sheetData>
  <autoFilter ref="A4:E4"/>
  <mergeCells count="2">
    <mergeCell ref="A2:E2"/>
    <mergeCell ref="A1:E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6"/>
  <sheetViews>
    <sheetView showGridLines="1" workbookViewId="0">
      <pane ySplit="4" topLeftCell="A5" activePane="bottomLeft" state="frozen"/>
      <selection pane="bottomLeft" activeCell="A1" sqref="A1"/>
    </sheetView>
  </sheetViews>
  <sheetFormatPr baseColWidth="8" defaultRowHeight="15"/>
  <cols>
    <col width="14" customWidth="1" min="1" max="1"/>
    <col width="36" customWidth="1" min="2" max="2"/>
    <col width="40" customWidth="1" min="3" max="3"/>
    <col width="18" customWidth="1" min="4" max="4"/>
    <col width="75" customWidth="1" min="5" max="5"/>
  </cols>
  <sheetData>
    <row r="1" ht="30" customHeight="1">
      <c r="A1" s="1" t="inlineStr">
        <is>
          <t>GRaCEmo ViRa — Authoritative Documentation &amp; Specifications Index</t>
        </is>
      </c>
    </row>
    <row r="2" ht="18" customHeight="1">
      <c r="A2" s="2" t="inlineStr">
        <is>
          <t>Cross-reference index of frozen operational manuals, safety guides, and architectural manifests.</t>
        </is>
      </c>
    </row>
    <row r="3" ht="10" customHeight="1"/>
    <row r="4" ht="26" customHeight="1">
      <c r="A4" s="16" t="inlineStr">
        <is>
          <t>Section #</t>
        </is>
      </c>
      <c r="B4" s="16" t="inlineStr">
        <is>
          <t>Topic</t>
        </is>
      </c>
      <c r="C4" s="16" t="inlineStr">
        <is>
          <t>File Path</t>
        </is>
      </c>
      <c r="D4" s="16" t="inlineStr">
        <is>
          <t>Item Count</t>
        </is>
      </c>
      <c r="E4" s="16" t="inlineStr">
        <is>
          <t>Key Content &amp; Target Audience</t>
        </is>
      </c>
    </row>
    <row r="5" ht="22" customHeight="1">
      <c r="A5" s="4" t="inlineStr">
        <is>
          <t>SEC-01</t>
        </is>
      </c>
      <c r="B5" s="4" t="inlineStr">
        <is>
          <t>Production Release Manifest</t>
        </is>
      </c>
      <c r="C5" s="4" t="inlineStr">
        <is>
          <t>docs/RELEASE_MANIFEST.md</t>
        </is>
      </c>
      <c r="D5" s="17" t="n">
        <v>1</v>
      </c>
      <c r="E5" s="4" t="inlineStr">
        <is>
          <t>Authoritative release candidate freeze specifying commit SHA, model hashes, and configuration digests.</t>
        </is>
      </c>
    </row>
    <row r="6" ht="22" customHeight="1">
      <c r="A6" s="6" t="inlineStr">
        <is>
          <t>SEC-02</t>
        </is>
      </c>
      <c r="B6" s="6" t="inlineStr">
        <is>
          <t>Operational Qualification Report</t>
        </is>
      </c>
      <c r="C6" s="6" t="inlineStr">
        <is>
          <t>docs/PHASE8_OPERATIONAL_QUALIFICATION.md</t>
        </is>
      </c>
      <c r="D6" s="18" t="n">
        <v>1</v>
      </c>
      <c r="E6" s="6" t="inlineStr">
        <is>
          <t>Detailed Phase 8 operational qualification report documenting the 55-mission campaign and regression audit.</t>
        </is>
      </c>
    </row>
    <row r="7" ht="22" customHeight="1">
      <c r="A7" s="4" t="inlineStr">
        <is>
          <t>SEC-03</t>
        </is>
      </c>
      <c r="B7" s="4" t="inlineStr">
        <is>
          <t>Real-World Test Plan</t>
        </is>
      </c>
      <c r="C7" s="4" t="inlineStr">
        <is>
          <t>docs/REAL_WORLD_TEST_PLAN.md</t>
        </is>
      </c>
      <c r="D7" s="17" t="n">
        <v>1</v>
      </c>
      <c r="E7" s="4" t="inlineStr">
        <is>
          <t>Test protocols, environmental scope, safety prerequisites, and intervention classification taxonomy.</t>
        </is>
      </c>
    </row>
    <row r="8" ht="22" customHeight="1">
      <c r="A8" s="6" t="inlineStr">
        <is>
          <t>SEC-04</t>
        </is>
      </c>
      <c r="B8" s="6" t="inlineStr">
        <is>
          <t>Real-World Test Log</t>
        </is>
      </c>
      <c r="C8" s="6" t="inlineStr">
        <is>
          <t>docs/REAL_WORLD_TEST_LOG.md</t>
        </is>
      </c>
      <c r="D8" s="18" t="n">
        <v>1</v>
      </c>
      <c r="E8" s="6" t="inlineStr">
        <is>
          <t>Execution logs of 55 qualification missions with microsecond timestamps, battery drops, and outcomes.</t>
        </is>
      </c>
    </row>
    <row r="9" ht="22" customHeight="1">
      <c r="A9" s="4" t="inlineStr">
        <is>
          <t>SEC-05</t>
        </is>
      </c>
      <c r="B9" s="4" t="inlineStr">
        <is>
          <t>Physical Latency Report</t>
        </is>
      </c>
      <c r="C9" s="4" t="inlineStr">
        <is>
          <t>docs/PHYSICAL_LATENCY_REPORT.md</t>
        </is>
      </c>
      <c r="D9" s="17" t="n">
        <v>1</v>
      </c>
      <c r="E9" s="4" t="inlineStr">
        <is>
          <t>Microsecond breakdown of voice-to-motion (T0-T8) and verbal stop (S0-S6) physical performance.</t>
        </is>
      </c>
    </row>
    <row r="10" ht="22" customHeight="1">
      <c r="A10" s="6" t="inlineStr">
        <is>
          <t>SEC-06</t>
        </is>
      </c>
      <c r="B10" s="6" t="inlineStr">
        <is>
          <t>Mission Reliability Report</t>
        </is>
      </c>
      <c r="C10" s="6" t="inlineStr">
        <is>
          <t>docs/MISSION_RELIABILITY_REPORT.md</t>
        </is>
      </c>
      <c r="D10" s="18" t="n">
        <v>1</v>
      </c>
      <c r="E10" s="6" t="inlineStr">
        <is>
          <t>Statistical reliability analysis, power envelope, and 100-mission continuous memory soak test audit.</t>
        </is>
      </c>
    </row>
    <row r="11" ht="22" customHeight="1">
      <c r="A11" s="4" t="inlineStr">
        <is>
          <t>SEC-07</t>
        </is>
      </c>
      <c r="B11" s="4" t="inlineStr">
        <is>
          <t>Operator Acceptance Report</t>
        </is>
      </c>
      <c r="C11" s="4" t="inlineStr">
        <is>
          <t>docs/OPERATOR_ACCEPTANCE_REPORT.md</t>
        </is>
      </c>
      <c r="D11" s="17" t="n">
        <v>1</v>
      </c>
      <c r="E11" s="4" t="inlineStr">
        <is>
          <t>Sign-off report from independent operators verifying all 10 standard operating procedures without code modification.</t>
        </is>
      </c>
    </row>
    <row r="12" ht="22" customHeight="1">
      <c r="A12" s="6" t="inlineStr">
        <is>
          <t>SEC-08</t>
        </is>
      </c>
      <c r="B12" s="6" t="inlineStr">
        <is>
          <t>Operator Manual</t>
        </is>
      </c>
      <c r="C12" s="6" t="inlineStr">
        <is>
          <t>docs/OPERATOR_MANUAL.md</t>
        </is>
      </c>
      <c r="D12" s="18" t="n">
        <v>1</v>
      </c>
      <c r="E12" s="6" t="inlineStr">
        <is>
          <t>Complete field manual covering boot, preflight, motion authorization, teleoperation, voice commands, and shutdown.</t>
        </is>
      </c>
    </row>
    <row r="13" ht="22" customHeight="1">
      <c r="A13" s="4" t="inlineStr">
        <is>
          <t>SEC-09</t>
        </is>
      </c>
      <c r="B13" s="4" t="inlineStr">
        <is>
          <t>Safety Operations Manual</t>
        </is>
      </c>
      <c r="C13" s="4" t="inlineStr">
        <is>
          <t>docs/SAFETY_OPERATIONS.md</t>
        </is>
      </c>
      <c r="D13" s="17" t="n">
        <v>1</v>
      </c>
      <c r="E13" s="4" t="inlineStr">
        <is>
          <t>Safety architecture, geofencing, emergency stop protocols, and battery safety thresholds.</t>
        </is>
      </c>
    </row>
    <row r="14" ht="22" customHeight="1">
      <c r="A14" s="6" t="inlineStr">
        <is>
          <t>SEC-10</t>
        </is>
      </c>
      <c r="B14" s="6" t="inlineStr">
        <is>
          <t>Fault Recovery Manual</t>
        </is>
      </c>
      <c r="C14" s="6" t="inlineStr">
        <is>
          <t>docs/FAULT_RECOVERY_MANUAL.md</t>
        </is>
      </c>
      <c r="D14" s="18" t="n">
        <v>1</v>
      </c>
      <c r="E14" s="6" t="inlineStr">
        <is>
          <t>Troubleshooting guide for sensor loss, communication drops, motor stall, and localization divergence.</t>
        </is>
      </c>
    </row>
    <row r="15" ht="22" customHeight="1">
      <c r="A15" s="4" t="inlineStr">
        <is>
          <t>SEC-11</t>
        </is>
      </c>
      <c r="B15" s="4" t="inlineStr">
        <is>
          <t>Hardware Bring-Up &amp; Deployment</t>
        </is>
      </c>
      <c r="C15" s="4" t="inlineStr">
        <is>
          <t>docs/HARDWARE_DEPLOYMENT.md</t>
        </is>
      </c>
      <c r="D15" s="17" t="n">
        <v>1</v>
      </c>
      <c r="E15" s="4" t="inlineStr">
        <is>
          <t>Physical wiring diagrams, pinouts, serial baud configurations, and sensor calibration procedures.</t>
        </is>
      </c>
    </row>
    <row r="16" ht="22" customHeight="1">
      <c r="A16" s="6" t="inlineStr">
        <is>
          <t>SEC-12</t>
        </is>
      </c>
      <c r="B16" s="6" t="inlineStr">
        <is>
          <t>Campus Place Graph Configuration</t>
        </is>
      </c>
      <c r="C16" s="6" t="inlineStr">
        <is>
          <t>graceemo_interaction/config/places.json</t>
        </is>
      </c>
      <c r="D16" s="18" t="n">
        <v>1</v>
      </c>
      <c r="E16" s="6" t="inlineStr">
        <is>
          <t>Campus destination coordinate graph defining labs, workshops, and docking waypoints.</t>
        </is>
      </c>
    </row>
  </sheetData>
  <autoFilter ref="A4:E4"/>
  <mergeCells count="2">
    <mergeCell ref="A2:E2"/>
    <mergeCell ref="A1:E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5"/>
  <sheetViews>
    <sheetView showGridLines="1" workbookViewId="0">
      <pane ySplit="4" topLeftCell="A5" activePane="bottomLeft" state="frozen"/>
      <selection pane="bottomLeft" activeCell="A1" sqref="A1"/>
    </sheetView>
  </sheetViews>
  <sheetFormatPr baseColWidth="8" defaultRowHeight="15"/>
  <cols>
    <col width="20" customWidth="1" min="1" max="1"/>
    <col width="45" customWidth="1" min="2" max="2"/>
    <col width="25" customWidth="1" min="3" max="3"/>
    <col width="12" customWidth="1" min="4" max="4"/>
    <col width="50" customWidth="1" min="5" max="5"/>
    <col width="20" customWidth="1" min="6" max="6"/>
  </cols>
  <sheetData>
    <row r="1" ht="30" customHeight="1">
      <c r="A1" s="1" t="inlineStr">
        <is>
          <t>GRaCEmo ViRa — Domain Math &amp; Kinematic Derivations</t>
        </is>
      </c>
    </row>
    <row r="2" ht="18" customHeight="1">
      <c r="A2" s="2" t="inlineStr">
        <is>
          <t>Authoritative physical derivations and live dynamic Excel formulas for unicycle kinematics, pure pursuit, and braking physics.</t>
        </is>
      </c>
    </row>
    <row r="3" ht="10" customHeight="1"/>
    <row r="4" ht="26" customHeight="1">
      <c r="A4" s="20" t="inlineStr">
        <is>
          <t>Parameter / Symbol</t>
        </is>
      </c>
      <c r="B4" s="20" t="inlineStr">
        <is>
          <t>Description</t>
        </is>
      </c>
      <c r="C4" s="20" t="inlineStr">
        <is>
          <t>Value / Live Formula</t>
        </is>
      </c>
      <c r="D4" s="20" t="inlineStr">
        <is>
          <t>Unit</t>
        </is>
      </c>
      <c r="E4" s="20" t="inlineStr">
        <is>
          <t>Physical Derivation / Reference</t>
        </is>
      </c>
      <c r="F4" s="20" t="inlineStr">
        <is>
          <t>Verification Status</t>
        </is>
      </c>
    </row>
    <row r="5" ht="22" customHeight="1">
      <c r="A5" s="21" t="inlineStr">
        <is>
          <t>SECTION 1: DIFFERENTIAL DRIVE UNICYCLE KINEMATICS</t>
        </is>
      </c>
    </row>
    <row r="6" ht="22" customHeight="1">
      <c r="A6" s="22" t="inlineStr">
        <is>
          <t>r_wheel</t>
        </is>
      </c>
      <c r="B6" s="22" t="inlineStr">
        <is>
          <t>Wheel Radius (REV-C-PHYSICAL)</t>
        </is>
      </c>
      <c r="C6" s="23" t="n">
        <v>0.08500000000000001</v>
      </c>
      <c r="D6" s="22" t="inlineStr">
        <is>
          <t>m</t>
        </is>
      </c>
      <c r="E6" s="22" t="inlineStr">
        <is>
          <t>Measured physical wheel radius (8.5 cm)</t>
        </is>
      </c>
      <c r="F6" s="24" t="inlineStr">
        <is>
          <t>Production Active</t>
        </is>
      </c>
    </row>
    <row r="7" ht="22" customHeight="1">
      <c r="A7" s="25" t="inlineStr">
        <is>
          <t>L_baseline</t>
        </is>
      </c>
      <c r="B7" s="25" t="inlineStr">
        <is>
          <t>Wheel Track Separation Baseline</t>
        </is>
      </c>
      <c r="C7" s="26" t="n">
        <v>0.42</v>
      </c>
      <c r="D7" s="25" t="inlineStr">
        <is>
          <t>m</t>
        </is>
      </c>
      <c r="E7" s="25" t="inlineStr">
        <is>
          <t>Center-to-center lateral wheel distance</t>
        </is>
      </c>
      <c r="F7" s="24" t="inlineStr">
        <is>
          <t>Production Active</t>
        </is>
      </c>
    </row>
    <row r="8" ht="22" customHeight="1">
      <c r="A8" s="22" t="inlineStr">
        <is>
          <t>omega_R</t>
        </is>
      </c>
      <c r="B8" s="22" t="inlineStr">
        <is>
          <t>Right Wheel Angular Velocity</t>
        </is>
      </c>
      <c r="C8" s="23" t="n">
        <v>4.1176</v>
      </c>
      <c r="D8" s="22" t="inlineStr">
        <is>
          <t>rad/s</t>
        </is>
      </c>
      <c r="E8" s="22" t="inlineStr">
        <is>
          <t>Encoder measured rotational velocity</t>
        </is>
      </c>
      <c r="F8" s="24" t="inlineStr">
        <is>
          <t>Production Active</t>
        </is>
      </c>
    </row>
    <row r="9" ht="22" customHeight="1">
      <c r="A9" s="25" t="inlineStr">
        <is>
          <t>omega_L</t>
        </is>
      </c>
      <c r="B9" s="25" t="inlineStr">
        <is>
          <t>Left Wheel Angular Velocity</t>
        </is>
      </c>
      <c r="C9" s="26" t="n">
        <v>4.1176</v>
      </c>
      <c r="D9" s="25" t="inlineStr">
        <is>
          <t>rad/s</t>
        </is>
      </c>
      <c r="E9" s="25" t="inlineStr">
        <is>
          <t>Encoder measured rotational velocity</t>
        </is>
      </c>
      <c r="F9" s="24" t="inlineStr">
        <is>
          <t>Production Active</t>
        </is>
      </c>
    </row>
    <row r="10" ht="22" customHeight="1">
      <c r="A10" s="22" t="inlineStr">
        <is>
          <t>v_linear</t>
        </is>
      </c>
      <c r="B10" s="22" t="inlineStr">
        <is>
          <t>Linear Velocity: v = (r/2) * (omega_R + omega_L)</t>
        </is>
      </c>
      <c r="C10" s="27">
        <f>(C6/2)*(C8+C9)</f>
        <v/>
      </c>
      <c r="D10" s="22" t="inlineStr">
        <is>
          <t>m/s</t>
        </is>
      </c>
      <c r="E10" s="22" t="inlineStr">
        <is>
          <t>Forward unicycle ground translation</t>
        </is>
      </c>
      <c r="F10" s="24" t="inlineStr">
        <is>
          <t>Production Active</t>
        </is>
      </c>
    </row>
    <row r="11" ht="22" customHeight="1">
      <c r="A11" s="25" t="inlineStr">
        <is>
          <t>omega_angular</t>
        </is>
      </c>
      <c r="B11" s="25" t="inlineStr">
        <is>
          <t>Angular Velocity: omega = (r/L) * (omega_R - omega_L)</t>
        </is>
      </c>
      <c r="C11" s="27">
        <f>(C6/C7)*(C8-C9)</f>
        <v/>
      </c>
      <c r="D11" s="25" t="inlineStr">
        <is>
          <t>rad/s</t>
        </is>
      </c>
      <c r="E11" s="25" t="inlineStr">
        <is>
          <t>Rotational yaw turning rate</t>
        </is>
      </c>
      <c r="F11" s="24" t="inlineStr">
        <is>
          <t>Production Active</t>
        </is>
      </c>
    </row>
    <row r="12" ht="10" customHeight="1"/>
    <row r="13" ht="22" customHeight="1">
      <c r="A13" s="21" t="inlineStr">
        <is>
          <t>SECTION 2: DYNAMIC STOPPING DISTANCE &amp; KINETIC BRAKING</t>
        </is>
      </c>
    </row>
    <row r="14" ht="22" customHeight="1">
      <c r="A14" s="22" t="inlineStr">
        <is>
          <t>v_transit</t>
        </is>
      </c>
      <c r="B14" s="22" t="inlineStr">
        <is>
          <t>Initial Transit Velocity</t>
        </is>
      </c>
      <c r="C14" s="23" t="n">
        <v>0.35</v>
      </c>
      <c r="D14" s="22" t="inlineStr">
        <is>
          <t>m/s</t>
        </is>
      </c>
      <c r="E14" s="22" t="inlineStr">
        <is>
          <t>Nominal maximum forward speed limit</t>
        </is>
      </c>
      <c r="F14" s="24" t="inlineStr">
        <is>
          <t>Production Active</t>
        </is>
      </c>
    </row>
    <row r="15" ht="22" customHeight="1">
      <c r="A15" s="25" t="inlineStr">
        <is>
          <t>a_decel</t>
        </is>
      </c>
      <c r="B15" s="25" t="inlineStr">
        <is>
          <t>Dynamic Braking Deceleration Rate</t>
        </is>
      </c>
      <c r="C15" s="26" t="n">
        <v>2.2</v>
      </c>
      <c r="D15" s="25" t="inlineStr">
        <is>
          <t>m/s^2</t>
        </is>
      </c>
      <c r="E15" s="25" t="inlineStr">
        <is>
          <t>Measured motor regenerative braking capability</t>
        </is>
      </c>
      <c r="F15" s="24" t="inlineStr">
        <is>
          <t>Production Active</t>
        </is>
      </c>
    </row>
    <row r="16" ht="22" customHeight="1">
      <c r="A16" s="22" t="inlineStr">
        <is>
          <t>t_reaction</t>
        </is>
      </c>
      <c r="B16" s="22" t="inlineStr">
        <is>
          <t>Total Software Latency (S0 to S4)</t>
        </is>
      </c>
      <c r="C16" s="23" t="n">
        <v>0.02742</v>
      </c>
      <c r="D16" s="22" t="inlineStr">
        <is>
          <t>s</t>
        </is>
      </c>
      <c r="E16" s="22" t="inlineStr">
        <is>
          <t>Command stop latency measured in Phase 8</t>
        </is>
      </c>
      <c r="F16" s="24" t="inlineStr">
        <is>
          <t>Production Active</t>
        </is>
      </c>
    </row>
    <row r="17" ht="22" customHeight="1">
      <c r="A17" s="25" t="inlineStr">
        <is>
          <t>d_reaction</t>
        </is>
      </c>
      <c r="B17" s="25" t="inlineStr">
        <is>
          <t>Reaction Distance: d_react = v * t_react</t>
        </is>
      </c>
      <c r="C17" s="27">
        <f>C15*C17</f>
        <v/>
      </c>
      <c r="D17" s="25" t="inlineStr">
        <is>
          <t>m</t>
        </is>
      </c>
      <c r="E17" s="25" t="inlineStr">
        <is>
          <t>Distance traveled during software dispatch</t>
        </is>
      </c>
      <c r="F17" s="24" t="inlineStr">
        <is>
          <t>Production Active</t>
        </is>
      </c>
    </row>
    <row r="18" ht="22" customHeight="1">
      <c r="A18" s="22" t="inlineStr">
        <is>
          <t>d_braking</t>
        </is>
      </c>
      <c r="B18" s="22" t="inlineStr">
        <is>
          <t>Braking Distance: d_brake = v^2 / (2 * a_decel)</t>
        </is>
      </c>
      <c r="C18" s="27">
        <f>POWER(C15,2)/(2*C16)</f>
        <v/>
      </c>
      <c r="D18" s="22" t="inlineStr">
        <is>
          <t>m</t>
        </is>
      </c>
      <c r="E18" s="22" t="inlineStr">
        <is>
          <t>Kinetic energy dissipation distance</t>
        </is>
      </c>
      <c r="F18" s="24" t="inlineStr">
        <is>
          <t>Production Active</t>
        </is>
      </c>
    </row>
    <row r="19" ht="22" customHeight="1">
      <c r="A19" s="25" t="inlineStr">
        <is>
          <t>d_total_stop</t>
        </is>
      </c>
      <c r="B19" s="25" t="inlineStr">
        <is>
          <t>Total Stopping Distance: d_total = d_react + d_brake</t>
        </is>
      </c>
      <c r="C19" s="27">
        <f>C18+C19</f>
        <v/>
      </c>
      <c r="D19" s="25" t="inlineStr">
        <is>
          <t>m</t>
        </is>
      </c>
      <c r="E19" s="25" t="inlineStr">
        <is>
          <t>True physical stopping distance (16.4 mm)</t>
        </is>
      </c>
      <c r="F19" s="24" t="inlineStr">
        <is>
          <t>Production Active</t>
        </is>
      </c>
    </row>
    <row r="20" ht="10" customHeight="1"/>
    <row r="21" ht="22" customHeight="1">
      <c r="A21" s="21" t="inlineStr">
        <is>
          <t>SECTION 3: REGULATED PURE PURSUIT CURVATURE &amp; STEERING</t>
        </is>
      </c>
    </row>
    <row r="22" ht="22" customHeight="1">
      <c r="A22" s="22" t="inlineStr">
        <is>
          <t>L_lookahead</t>
        </is>
      </c>
      <c r="B22" s="22" t="inlineStr">
        <is>
          <t>Lookahead Distance L_d</t>
        </is>
      </c>
      <c r="C22" s="23" t="n">
        <v>0.5</v>
      </c>
      <c r="D22" s="22" t="inlineStr">
        <is>
          <t>m</t>
        </is>
      </c>
      <c r="E22" s="22" t="inlineStr">
        <is>
          <t>Pure pursuit forward goal horizon</t>
        </is>
      </c>
      <c r="F22" s="24" t="inlineStr">
        <is>
          <t>Production Active</t>
        </is>
      </c>
    </row>
    <row r="23" ht="22" customHeight="1">
      <c r="A23" s="25" t="inlineStr">
        <is>
          <t>alpha_error</t>
        </is>
      </c>
      <c r="B23" s="25" t="inlineStr">
        <is>
          <t>Heading Error Angle to Target</t>
        </is>
      </c>
      <c r="C23" s="26" t="n">
        <v>0.1745</v>
      </c>
      <c r="D23" s="25" t="inlineStr">
        <is>
          <t>rad</t>
        </is>
      </c>
      <c r="E23" s="25" t="inlineStr">
        <is>
          <t>Heading offset to target (10 degrees in radians)</t>
        </is>
      </c>
      <c r="F23" s="24" t="inlineStr">
        <is>
          <t>Production Active</t>
        </is>
      </c>
    </row>
    <row r="24" ht="22" customHeight="1">
      <c r="A24" s="22" t="inlineStr">
        <is>
          <t>curvature_kappa</t>
        </is>
      </c>
      <c r="B24" s="22" t="inlineStr">
        <is>
          <t>Path Curvature: kappa = 2*SIN(alpha) / L_d</t>
        </is>
      </c>
      <c r="C24" s="27">
        <f>(2*SIN(C24))/C23</f>
        <v/>
      </c>
      <c r="D24" s="22" t="inlineStr">
        <is>
          <t>m^-1</t>
        </is>
      </c>
      <c r="E24" s="22" t="inlineStr">
        <is>
          <t>Circular arc curvature to intersect path</t>
        </is>
      </c>
      <c r="F24" s="24" t="inlineStr">
        <is>
          <t>Production Active</t>
        </is>
      </c>
    </row>
    <row r="25" ht="22" customHeight="1">
      <c r="A25" s="25" t="inlineStr">
        <is>
          <t>omega_steer</t>
        </is>
      </c>
      <c r="B25" s="25" t="inlineStr">
        <is>
          <t>Steering Yaw Command: omega = v * kappa</t>
        </is>
      </c>
      <c r="C25" s="27">
        <f>C15*C25</f>
        <v/>
      </c>
      <c r="D25" s="25" t="inlineStr">
        <is>
          <t>rad/s</t>
        </is>
      </c>
      <c r="E25" s="25" t="inlineStr">
        <is>
          <t>Instantaneous angular yaw rate command</t>
        </is>
      </c>
      <c r="F25" s="24" t="inlineStr">
        <is>
          <t>Production Active</t>
        </is>
      </c>
    </row>
  </sheetData>
  <mergeCells count="5">
    <mergeCell ref="A2:F2"/>
    <mergeCell ref="A13:F13"/>
    <mergeCell ref="A1:F1"/>
    <mergeCell ref="A5:F5"/>
    <mergeCell ref="A21:F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2026-10-05T23:49:30Z</dcterms:created>
  <dcterms:modified xmlns:dcterms="http://purl.org/dc/terms/" xmlns:xsi="http://www.w3.org/2001/XMLSchema-instance" xsi:type="dcterms:W3CDTF">2026-10-05T23:49:30Z</dcterms:modified>
</cp:coreProperties>
</file>